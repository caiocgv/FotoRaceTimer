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cc\Documents\GitHub\FotoRaceTimer\Data_Script\Excel\"/>
    </mc:Choice>
  </mc:AlternateContent>
  <xr:revisionPtr revIDLastSave="0" documentId="13_ncr:1_{78767C70-C79A-4268-B50F-0C4E08D1AF99}" xr6:coauthVersionLast="47" xr6:coauthVersionMax="47" xr10:uidLastSave="{00000000-0000-0000-0000-000000000000}"/>
  <bookViews>
    <workbookView xWindow="1008" yWindow="-108" windowWidth="22140" windowHeight="13176" activeTab="2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I23" i="3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00" i="3" a="1"/>
  <c r="G200" i="3" s="1"/>
  <c r="G201" i="3" a="1"/>
  <c r="G201" i="3" s="1"/>
  <c r="G202" i="3" a="1"/>
  <c r="G202" i="3" s="1"/>
  <c r="G203" i="3" a="1"/>
  <c r="G203" i="3" s="1"/>
  <c r="G204" i="3" a="1"/>
  <c r="G204" i="3" s="1"/>
  <c r="G205" i="3" a="1"/>
  <c r="G205" i="3" s="1"/>
  <c r="G206" i="3" a="1"/>
  <c r="G206" i="3" s="1"/>
  <c r="G207" i="3" a="1"/>
  <c r="G207" i="3" s="1"/>
  <c r="G208" i="3" a="1"/>
  <c r="G208" i="3" s="1"/>
  <c r="G209" i="3" a="1"/>
  <c r="G209" i="3" s="1"/>
  <c r="G210" i="3" a="1"/>
  <c r="G210" i="3" s="1"/>
  <c r="G211" i="3" a="1"/>
  <c r="G211" i="3" s="1"/>
  <c r="G212" i="3" a="1"/>
  <c r="G212" i="3" s="1"/>
  <c r="G213" i="3" a="1"/>
  <c r="G213" i="3" s="1"/>
  <c r="G214" i="3" a="1"/>
  <c r="G214" i="3" s="1"/>
  <c r="G215" i="3" a="1"/>
  <c r="G215" i="3" s="1"/>
  <c r="G216" i="3" a="1"/>
  <c r="G216" i="3" s="1"/>
  <c r="G217" i="3" a="1"/>
  <c r="G217" i="3" s="1"/>
  <c r="G218" i="3" a="1"/>
  <c r="G218" i="3" s="1"/>
  <c r="G219" i="3" a="1"/>
  <c r="G219" i="3" s="1"/>
  <c r="G220" i="3" a="1"/>
  <c r="G220" i="3" s="1"/>
  <c r="G221" i="3" a="1"/>
  <c r="G221" i="3" s="1"/>
  <c r="G222" i="3" a="1"/>
  <c r="G222" i="3" s="1"/>
  <c r="G223" i="3" a="1"/>
  <c r="G223" i="3" s="1"/>
  <c r="G224" i="3" a="1"/>
  <c r="G224" i="3" s="1"/>
  <c r="G225" i="3" a="1"/>
  <c r="G225" i="3" s="1"/>
  <c r="G226" i="3" a="1"/>
  <c r="G226" i="3" s="1"/>
  <c r="G227" i="3" a="1"/>
  <c r="G227" i="3" s="1"/>
  <c r="G228" i="3" a="1"/>
  <c r="G228" i="3" s="1"/>
  <c r="G229" i="3" a="1"/>
  <c r="G229" i="3" s="1"/>
  <c r="G230" i="3" a="1"/>
  <c r="G230" i="3" s="1"/>
  <c r="G231" i="3" a="1"/>
  <c r="G231" i="3" s="1"/>
  <c r="G232" i="3" a="1"/>
  <c r="G232" i="3" s="1"/>
  <c r="G233" i="3" a="1"/>
  <c r="G233" i="3" s="1"/>
  <c r="G234" i="3" a="1"/>
  <c r="G234" i="3" s="1"/>
  <c r="G235" i="3" a="1"/>
  <c r="G235" i="3" s="1"/>
  <c r="G236" i="3" a="1"/>
  <c r="G236" i="3" s="1"/>
  <c r="G237" i="3" a="1"/>
  <c r="G237" i="3" s="1"/>
  <c r="G238" i="3" a="1"/>
  <c r="G238" i="3" s="1"/>
  <c r="G239" i="3" a="1"/>
  <c r="G239" i="3" s="1"/>
  <c r="G240" i="3" a="1"/>
  <c r="G240" i="3" s="1"/>
  <c r="G241" i="3" a="1"/>
  <c r="G241" i="3" s="1"/>
  <c r="G242" i="3" a="1"/>
  <c r="G242" i="3" s="1"/>
  <c r="G243" i="3" a="1"/>
  <c r="G243" i="3" s="1"/>
  <c r="G244" i="3" a="1"/>
  <c r="G244" i="3" s="1"/>
  <c r="G245" i="3" a="1"/>
  <c r="G245" i="3" s="1"/>
  <c r="G246" i="3" a="1"/>
  <c r="G246" i="3" s="1"/>
  <c r="G247" i="3" a="1"/>
  <c r="G247" i="3" s="1"/>
  <c r="G248" i="3" a="1"/>
  <c r="G248" i="3" s="1"/>
  <c r="G249" i="3" a="1"/>
  <c r="G249" i="3" s="1"/>
  <c r="G250" i="3" a="1"/>
  <c r="G250" i="3" s="1"/>
  <c r="G251" i="3" a="1"/>
  <c r="G251" i="3" s="1"/>
  <c r="G252" i="3" a="1"/>
  <c r="G252" i="3" s="1"/>
  <c r="G253" i="3" a="1"/>
  <c r="G253" i="3" s="1"/>
  <c r="G254" i="3" a="1"/>
  <c r="G254" i="3" s="1"/>
  <c r="G255" i="3" a="1"/>
  <c r="G255" i="3" s="1"/>
  <c r="G256" i="3" a="1"/>
  <c r="G256" i="3" s="1"/>
  <c r="G257" i="3" a="1"/>
  <c r="G257" i="3" s="1"/>
  <c r="G258" i="3" a="1"/>
  <c r="G258" i="3" s="1"/>
  <c r="G259" i="3" a="1"/>
  <c r="G259" i="3" s="1"/>
  <c r="G260" i="3" a="1"/>
  <c r="G260" i="3" s="1"/>
  <c r="G261" i="3" a="1"/>
  <c r="G261" i="3" s="1"/>
  <c r="G262" i="3" a="1"/>
  <c r="G262" i="3" s="1"/>
  <c r="G263" i="3" a="1"/>
  <c r="G263" i="3" s="1"/>
  <c r="G264" i="3" a="1"/>
  <c r="G264" i="3" s="1"/>
  <c r="G265" i="3" a="1"/>
  <c r="G265" i="3" s="1"/>
  <c r="G266" i="3" a="1"/>
  <c r="G266" i="3" s="1"/>
  <c r="G267" i="3" a="1"/>
  <c r="G267" i="3" s="1"/>
  <c r="G268" i="3" a="1"/>
  <c r="G268" i="3" s="1"/>
  <c r="G269" i="3" a="1"/>
  <c r="G269" i="3" s="1"/>
  <c r="G270" i="3" a="1"/>
  <c r="G270" i="3" s="1"/>
  <c r="G271" i="3" a="1"/>
  <c r="G271" i="3" s="1"/>
  <c r="G272" i="3" a="1"/>
  <c r="G272" i="3" s="1"/>
  <c r="G273" i="3" a="1"/>
  <c r="G273" i="3" s="1"/>
  <c r="G274" i="3" a="1"/>
  <c r="G274" i="3" s="1"/>
  <c r="G275" i="3" a="1"/>
  <c r="G275" i="3" s="1"/>
  <c r="G276" i="3" a="1"/>
  <c r="G276" i="3" s="1"/>
  <c r="G277" i="3" a="1"/>
  <c r="G277" i="3" s="1"/>
  <c r="G278" i="3" a="1"/>
  <c r="G278" i="3" s="1"/>
  <c r="G279" i="3" a="1"/>
  <c r="G279" i="3" s="1"/>
  <c r="G280" i="3" a="1"/>
  <c r="G280" i="3" s="1"/>
  <c r="G281" i="3" a="1"/>
  <c r="G281" i="3" s="1"/>
  <c r="G282" i="3" a="1"/>
  <c r="G282" i="3" s="1"/>
  <c r="G283" i="3" a="1"/>
  <c r="G283" i="3" s="1"/>
  <c r="G284" i="3" a="1"/>
  <c r="G284" i="3" s="1"/>
  <c r="G285" i="3" a="1"/>
  <c r="G285" i="3" s="1"/>
  <c r="G286" i="3" a="1"/>
  <c r="G286" i="3" s="1"/>
  <c r="G287" i="3" a="1"/>
  <c r="G287" i="3" s="1"/>
  <c r="G288" i="3" a="1"/>
  <c r="G288" i="3" s="1"/>
  <c r="G289" i="3" a="1"/>
  <c r="G289" i="3" s="1"/>
  <c r="G290" i="3" a="1"/>
  <c r="G290" i="3" s="1"/>
  <c r="G291" i="3" a="1"/>
  <c r="G291" i="3" s="1"/>
  <c r="G292" i="3" a="1"/>
  <c r="G292" i="3" s="1"/>
  <c r="G293" i="3" a="1"/>
  <c r="G293" i="3" s="1"/>
  <c r="G294" i="3" a="1"/>
  <c r="G294" i="3" s="1"/>
  <c r="G295" i="3" a="1"/>
  <c r="G295" i="3" s="1"/>
  <c r="G296" i="3" a="1"/>
  <c r="G296" i="3" s="1"/>
  <c r="G297" i="3" a="1"/>
  <c r="G297" i="3" s="1"/>
  <c r="G298" i="3" a="1"/>
  <c r="G298" i="3" s="1"/>
  <c r="G299" i="3" a="1"/>
  <c r="G299" i="3" s="1"/>
  <c r="G300" i="3" a="1"/>
  <c r="G300" i="3" s="1"/>
  <c r="G301" i="3" a="1"/>
  <c r="G301" i="3" s="1"/>
  <c r="G302" i="3" a="1"/>
  <c r="G302" i="3" s="1"/>
  <c r="G303" i="3" a="1"/>
  <c r="G303" i="3" s="1"/>
  <c r="G304" i="3" a="1"/>
  <c r="G304" i="3" s="1"/>
  <c r="G305" i="3" a="1"/>
  <c r="G305" i="3" s="1"/>
  <c r="G306" i="3" a="1"/>
  <c r="G306" i="3" s="1"/>
  <c r="G307" i="3" a="1"/>
  <c r="G307" i="3" s="1"/>
  <c r="G308" i="3" a="1"/>
  <c r="G308" i="3" s="1"/>
  <c r="G309" i="3" a="1"/>
  <c r="G309" i="3" s="1"/>
  <c r="G310" i="3" a="1"/>
  <c r="G310" i="3" s="1"/>
  <c r="G311" i="3" a="1"/>
  <c r="G311" i="3" s="1"/>
  <c r="G312" i="3" a="1"/>
  <c r="G312" i="3" s="1"/>
  <c r="G313" i="3" a="1"/>
  <c r="G313" i="3" s="1"/>
  <c r="G314" i="3" a="1"/>
  <c r="G314" i="3" s="1"/>
  <c r="G315" i="3" a="1"/>
  <c r="G315" i="3" s="1"/>
  <c r="G316" i="3" a="1"/>
  <c r="G316" i="3" s="1"/>
  <c r="G317" i="3" a="1"/>
  <c r="G317" i="3" s="1"/>
  <c r="G318" i="3" a="1"/>
  <c r="G318" i="3" s="1"/>
  <c r="G319" i="3" a="1"/>
  <c r="G319" i="3" s="1"/>
  <c r="G320" i="3" a="1"/>
  <c r="G320" i="3" s="1"/>
  <c r="G321" i="3" a="1"/>
  <c r="G321" i="3" s="1"/>
  <c r="G322" i="3" a="1"/>
  <c r="G322" i="3" s="1"/>
  <c r="G323" i="3" a="1"/>
  <c r="G323" i="3" s="1"/>
  <c r="G324" i="3" a="1"/>
  <c r="G324" i="3" s="1"/>
  <c r="G325" i="3" a="1"/>
  <c r="G325" i="3" s="1"/>
  <c r="G326" i="3" a="1"/>
  <c r="G326" i="3" s="1"/>
  <c r="G327" i="3" a="1"/>
  <c r="G327" i="3" s="1"/>
  <c r="G328" i="3" a="1"/>
  <c r="G328" i="3" s="1"/>
  <c r="G329" i="3" a="1"/>
  <c r="G329" i="3" s="1"/>
  <c r="G330" i="3" a="1"/>
  <c r="G330" i="3" s="1"/>
  <c r="G331" i="3" a="1"/>
  <c r="G331" i="3" s="1"/>
  <c r="G332" i="3" a="1"/>
  <c r="G332" i="3" s="1"/>
  <c r="G333" i="3" a="1"/>
  <c r="G333" i="3" s="1"/>
  <c r="G334" i="3" a="1"/>
  <c r="G334" i="3" s="1"/>
  <c r="G335" i="3" a="1"/>
  <c r="G335" i="3" s="1"/>
  <c r="G336" i="3" a="1"/>
  <c r="G336" i="3" s="1"/>
  <c r="G337" i="3" a="1"/>
  <c r="G337" i="3" s="1"/>
  <c r="G338" i="3" a="1"/>
  <c r="G338" i="3" s="1"/>
  <c r="G339" i="3" a="1"/>
  <c r="G339" i="3" s="1"/>
  <c r="G340" i="3" a="1"/>
  <c r="G340" i="3" s="1"/>
  <c r="G341" i="3" a="1"/>
  <c r="G341" i="3" s="1"/>
  <c r="G342" i="3" a="1"/>
  <c r="G342" i="3" s="1"/>
  <c r="G343" i="3" a="1"/>
  <c r="G343" i="3" s="1"/>
  <c r="G344" i="3" a="1"/>
  <c r="G344" i="3" s="1"/>
  <c r="G345" i="3" a="1"/>
  <c r="G345" i="3" s="1"/>
  <c r="G346" i="3" a="1"/>
  <c r="G346" i="3" s="1"/>
  <c r="G347" i="3" a="1"/>
  <c r="G347" i="3" s="1"/>
  <c r="G348" i="3" a="1"/>
  <c r="G348" i="3" s="1"/>
  <c r="G349" i="3" a="1"/>
  <c r="G349" i="3" s="1"/>
  <c r="G350" i="3" a="1"/>
  <c r="G350" i="3" s="1"/>
  <c r="G351" i="3" a="1"/>
  <c r="G351" i="3" s="1"/>
  <c r="G352" i="3" a="1"/>
  <c r="G352" i="3" s="1"/>
  <c r="G353" i="3" a="1"/>
  <c r="G353" i="3" s="1"/>
  <c r="G354" i="3" a="1"/>
  <c r="G354" i="3" s="1"/>
  <c r="G355" i="3" a="1"/>
  <c r="G355" i="3" s="1"/>
  <c r="G356" i="3" a="1"/>
  <c r="G356" i="3" s="1"/>
  <c r="G357" i="3" a="1"/>
  <c r="G357" i="3" s="1"/>
  <c r="G358" i="3" a="1"/>
  <c r="G358" i="3" s="1"/>
  <c r="G359" i="3" a="1"/>
  <c r="G359" i="3" s="1"/>
  <c r="G360" i="3" a="1"/>
  <c r="G360" i="3" s="1"/>
  <c r="G361" i="3" a="1"/>
  <c r="G361" i="3" s="1"/>
  <c r="G362" i="3" a="1"/>
  <c r="G362" i="3" s="1"/>
  <c r="G363" i="3" a="1"/>
  <c r="G363" i="3" s="1"/>
  <c r="G364" i="3" a="1"/>
  <c r="G364" i="3" s="1"/>
  <c r="G365" i="3" a="1"/>
  <c r="G365" i="3" s="1"/>
  <c r="G366" i="3" a="1"/>
  <c r="G366" i="3" s="1"/>
  <c r="G367" i="3" a="1"/>
  <c r="G367" i="3" s="1"/>
  <c r="G368" i="3" a="1"/>
  <c r="G368" i="3" s="1"/>
  <c r="G369" i="3" a="1"/>
  <c r="G369" i="3" s="1"/>
  <c r="G370" i="3" a="1"/>
  <c r="G370" i="3" s="1"/>
  <c r="G371" i="3" a="1"/>
  <c r="G371" i="3" s="1"/>
  <c r="G372" i="3" a="1"/>
  <c r="G372" i="3" s="1"/>
  <c r="G373" i="3" a="1"/>
  <c r="G373" i="3" s="1"/>
  <c r="G374" i="3" a="1"/>
  <c r="G374" i="3" s="1"/>
  <c r="G375" i="3" a="1"/>
  <c r="G375" i="3" s="1"/>
  <c r="G376" i="3" a="1"/>
  <c r="G376" i="3" s="1"/>
  <c r="G377" i="3" a="1"/>
  <c r="G377" i="3" s="1"/>
  <c r="G378" i="3" a="1"/>
  <c r="G378" i="3" s="1"/>
  <c r="G379" i="3" a="1"/>
  <c r="G379" i="3" s="1"/>
  <c r="G380" i="3" a="1"/>
  <c r="G380" i="3" s="1"/>
  <c r="G381" i="3" a="1"/>
  <c r="G381" i="3" s="1"/>
  <c r="G382" i="3" a="1"/>
  <c r="G382" i="3" s="1"/>
  <c r="G383" i="3" a="1"/>
  <c r="G383" i="3" s="1"/>
  <c r="G384" i="3" a="1"/>
  <c r="G384" i="3" s="1"/>
  <c r="G385" i="3" a="1"/>
  <c r="G385" i="3" s="1"/>
  <c r="G386" i="3" a="1"/>
  <c r="G386" i="3" s="1"/>
  <c r="G387" i="3" a="1"/>
  <c r="G387" i="3" s="1"/>
  <c r="G388" i="3" a="1"/>
  <c r="G388" i="3" s="1"/>
  <c r="G389" i="3" a="1"/>
  <c r="G389" i="3" s="1"/>
  <c r="G390" i="3" a="1"/>
  <c r="G390" i="3" s="1"/>
  <c r="G391" i="3" a="1"/>
  <c r="G391" i="3" s="1"/>
  <c r="G392" i="3" a="1"/>
  <c r="G392" i="3" s="1"/>
  <c r="G393" i="3" a="1"/>
  <c r="G393" i="3" s="1"/>
  <c r="G394" i="3" a="1"/>
  <c r="G394" i="3" s="1"/>
  <c r="G395" i="3" a="1"/>
  <c r="G395" i="3" s="1"/>
  <c r="G396" i="3" a="1"/>
  <c r="G396" i="3" s="1"/>
  <c r="G397" i="3" a="1"/>
  <c r="G397" i="3" s="1"/>
  <c r="G398" i="3" a="1"/>
  <c r="G398" i="3" s="1"/>
  <c r="G399" i="3" a="1"/>
  <c r="G399" i="3" s="1"/>
  <c r="G400" i="3" a="1"/>
  <c r="G400" i="3" s="1"/>
  <c r="G401" i="3" a="1"/>
  <c r="G401" i="3" s="1"/>
  <c r="G402" i="3" a="1"/>
  <c r="G402" i="3" s="1"/>
  <c r="G403" i="3" a="1"/>
  <c r="G403" i="3" s="1"/>
  <c r="G404" i="3" a="1"/>
  <c r="G404" i="3" s="1"/>
  <c r="G405" i="3" a="1"/>
  <c r="G405" i="3" s="1"/>
  <c r="G406" i="3" a="1"/>
  <c r="G406" i="3" s="1"/>
  <c r="G407" i="3" a="1"/>
  <c r="G407" i="3" s="1"/>
  <c r="G408" i="3" a="1"/>
  <c r="G408" i="3" s="1"/>
  <c r="G409" i="3" a="1"/>
  <c r="G409" i="3" s="1"/>
  <c r="G410" i="3" a="1"/>
  <c r="G410" i="3" s="1"/>
  <c r="G411" i="3" a="1"/>
  <c r="G411" i="3" s="1"/>
  <c r="G412" i="3" a="1"/>
  <c r="G412" i="3" s="1"/>
  <c r="G413" i="3" a="1"/>
  <c r="G413" i="3" s="1"/>
  <c r="G414" i="3" a="1"/>
  <c r="G414" i="3" s="1"/>
  <c r="G415" i="3" a="1"/>
  <c r="G415" i="3" s="1"/>
  <c r="G416" i="3" a="1"/>
  <c r="G416" i="3" s="1"/>
  <c r="G417" i="3" a="1"/>
  <c r="G417" i="3" s="1"/>
  <c r="G418" i="3" a="1"/>
  <c r="G418" i="3" s="1"/>
  <c r="G419" i="3" a="1"/>
  <c r="G419" i="3" s="1"/>
  <c r="G420" i="3" a="1"/>
  <c r="G420" i="3" s="1"/>
  <c r="G421" i="3" a="1"/>
  <c r="G421" i="3" s="1"/>
  <c r="G422" i="3" a="1"/>
  <c r="G422" i="3" s="1"/>
  <c r="G423" i="3" a="1"/>
  <c r="G423" i="3" s="1"/>
  <c r="G424" i="3" a="1"/>
  <c r="G424" i="3" s="1"/>
  <c r="G425" i="3" a="1"/>
  <c r="G425" i="3" s="1"/>
  <c r="G426" i="3" a="1"/>
  <c r="G426" i="3" s="1"/>
  <c r="G427" i="3" a="1"/>
  <c r="G427" i="3" s="1"/>
  <c r="G428" i="3" a="1"/>
  <c r="G428" i="3" s="1"/>
  <c r="G429" i="3" a="1"/>
  <c r="G429" i="3" s="1"/>
  <c r="G430" i="3" a="1"/>
  <c r="G430" i="3" s="1"/>
  <c r="G431" i="3" a="1"/>
  <c r="G431" i="3" s="1"/>
  <c r="G432" i="3" a="1"/>
  <c r="G432" i="3" s="1"/>
  <c r="G433" i="3" a="1"/>
  <c r="G433" i="3" s="1"/>
  <c r="G434" i="3" a="1"/>
  <c r="G434" i="3" s="1"/>
  <c r="G435" i="3" a="1"/>
  <c r="G435" i="3" s="1"/>
  <c r="G436" i="3" a="1"/>
  <c r="G436" i="3" s="1"/>
  <c r="G437" i="3" a="1"/>
  <c r="G437" i="3" s="1"/>
  <c r="G438" i="3" a="1"/>
  <c r="G438" i="3" s="1"/>
  <c r="G439" i="3" a="1"/>
  <c r="G439" i="3" s="1"/>
  <c r="G440" i="3" a="1"/>
  <c r="G440" i="3" s="1"/>
  <c r="G441" i="3" a="1"/>
  <c r="G441" i="3" s="1"/>
  <c r="G442" i="3" a="1"/>
  <c r="G442" i="3" s="1"/>
  <c r="G443" i="3" a="1"/>
  <c r="G443" i="3" s="1"/>
  <c r="G444" i="3" a="1"/>
  <c r="G444" i="3" s="1"/>
  <c r="G445" i="3" a="1"/>
  <c r="G445" i="3" s="1"/>
  <c r="G446" i="3" a="1"/>
  <c r="G446" i="3" s="1"/>
  <c r="G447" i="3" a="1"/>
  <c r="G447" i="3" s="1"/>
  <c r="G448" i="3" a="1"/>
  <c r="G448" i="3" s="1"/>
  <c r="G449" i="3" a="1"/>
  <c r="G449" i="3" s="1"/>
  <c r="G450" i="3" a="1"/>
  <c r="G450" i="3" s="1"/>
  <c r="G451" i="3" a="1"/>
  <c r="G451" i="3" s="1"/>
  <c r="G452" i="3" a="1"/>
  <c r="G452" i="3" s="1"/>
  <c r="G453" i="3" a="1"/>
  <c r="G453" i="3" s="1"/>
  <c r="G454" i="3" a="1"/>
  <c r="G454" i="3" s="1"/>
  <c r="G455" i="3" a="1"/>
  <c r="G455" i="3" s="1"/>
  <c r="G456" i="3" a="1"/>
  <c r="G456" i="3" s="1"/>
  <c r="G457" i="3" a="1"/>
  <c r="G457" i="3" s="1"/>
  <c r="G458" i="3" a="1"/>
  <c r="G458" i="3" s="1"/>
  <c r="G459" i="3" a="1"/>
  <c r="G459" i="3" s="1"/>
  <c r="G460" i="3" a="1"/>
  <c r="G460" i="3" s="1"/>
  <c r="G461" i="3" a="1"/>
  <c r="G461" i="3" s="1"/>
  <c r="G462" i="3" a="1"/>
  <c r="G462" i="3" s="1"/>
  <c r="G463" i="3" a="1"/>
  <c r="G463" i="3" s="1"/>
  <c r="G464" i="3" a="1"/>
  <c r="G464" i="3" s="1"/>
  <c r="G465" i="3" a="1"/>
  <c r="G465" i="3" s="1"/>
  <c r="G466" i="3" a="1"/>
  <c r="G466" i="3" s="1"/>
  <c r="G467" i="3" a="1"/>
  <c r="G467" i="3" s="1"/>
  <c r="G468" i="3" a="1"/>
  <c r="G468" i="3" s="1"/>
  <c r="G469" i="3" a="1"/>
  <c r="G469" i="3" s="1"/>
  <c r="G470" i="3" a="1"/>
  <c r="G470" i="3" s="1"/>
  <c r="G471" i="3" a="1"/>
  <c r="G471" i="3" s="1"/>
  <c r="G472" i="3" a="1"/>
  <c r="G472" i="3" s="1"/>
  <c r="G473" i="3" a="1"/>
  <c r="G473" i="3" s="1"/>
  <c r="G474" i="3" a="1"/>
  <c r="G474" i="3" s="1"/>
  <c r="G475" i="3" a="1"/>
  <c r="G475" i="3" s="1"/>
  <c r="G476" i="3" a="1"/>
  <c r="G476" i="3" s="1"/>
  <c r="G477" i="3" a="1"/>
  <c r="G477" i="3" s="1"/>
  <c r="G478" i="3" a="1"/>
  <c r="G478" i="3" s="1"/>
  <c r="G479" i="3" a="1"/>
  <c r="G479" i="3" s="1"/>
  <c r="G480" i="3" a="1"/>
  <c r="G480" i="3" s="1"/>
  <c r="G481" i="3" a="1"/>
  <c r="G481" i="3" s="1"/>
  <c r="G482" i="3" a="1"/>
  <c r="G482" i="3" s="1"/>
  <c r="G483" i="3" a="1"/>
  <c r="G483" i="3" s="1"/>
  <c r="G484" i="3" a="1"/>
  <c r="G484" i="3" s="1"/>
  <c r="G485" i="3" a="1"/>
  <c r="G485" i="3" s="1"/>
  <c r="G486" i="3" a="1"/>
  <c r="G486" i="3" s="1"/>
  <c r="G487" i="3" a="1"/>
  <c r="G487" i="3" s="1"/>
  <c r="G488" i="3" a="1"/>
  <c r="G488" i="3" s="1"/>
  <c r="G489" i="3" a="1"/>
  <c r="G489" i="3" s="1"/>
  <c r="G490" i="3" a="1"/>
  <c r="G490" i="3" s="1"/>
  <c r="G491" i="3" a="1"/>
  <c r="G491" i="3" s="1"/>
  <c r="G492" i="3" a="1"/>
  <c r="G492" i="3" s="1"/>
  <c r="G493" i="3" a="1"/>
  <c r="G493" i="3" s="1"/>
  <c r="G494" i="3" a="1"/>
  <c r="G494" i="3" s="1"/>
  <c r="G495" i="3" a="1"/>
  <c r="G495" i="3" s="1"/>
  <c r="G496" i="3" a="1"/>
  <c r="G496" i="3" s="1"/>
  <c r="G497" i="3" a="1"/>
  <c r="G497" i="3" s="1"/>
  <c r="G498" i="3" a="1"/>
  <c r="G498" i="3" s="1"/>
  <c r="G499" i="3" a="1"/>
  <c r="G499" i="3" s="1"/>
  <c r="G500" i="3" a="1"/>
  <c r="G500" i="3" s="1"/>
  <c r="G501" i="3" a="1"/>
  <c r="G501" i="3" s="1"/>
  <c r="G502" i="3" a="1"/>
  <c r="G502" i="3" s="1"/>
  <c r="G503" i="3" a="1"/>
  <c r="G503" i="3" s="1"/>
  <c r="G504" i="3" a="1"/>
  <c r="G504" i="3" s="1"/>
  <c r="G505" i="3" a="1"/>
  <c r="G505" i="3" s="1"/>
  <c r="G506" i="3" a="1"/>
  <c r="G506" i="3" s="1"/>
  <c r="G507" i="3" a="1"/>
  <c r="G507" i="3" s="1"/>
  <c r="G508" i="3" a="1"/>
  <c r="G508" i="3" s="1"/>
  <c r="G509" i="3" a="1"/>
  <c r="G509" i="3" s="1"/>
  <c r="G510" i="3" a="1"/>
  <c r="G510" i="3" s="1"/>
  <c r="G511" i="3" a="1"/>
  <c r="G511" i="3" s="1"/>
  <c r="G512" i="3" a="1"/>
  <c r="G512" i="3" s="1"/>
  <c r="G513" i="3" a="1"/>
  <c r="G513" i="3" s="1"/>
  <c r="G514" i="3" a="1"/>
  <c r="G514" i="3" s="1"/>
  <c r="G515" i="3" a="1"/>
  <c r="G515" i="3" s="1"/>
  <c r="G516" i="3" a="1"/>
  <c r="G516" i="3" s="1"/>
  <c r="G517" i="3" a="1"/>
  <c r="G517" i="3" s="1"/>
  <c r="G518" i="3" a="1"/>
  <c r="G518" i="3" s="1"/>
  <c r="G519" i="3" a="1"/>
  <c r="G519" i="3" s="1"/>
  <c r="G520" i="3" a="1"/>
  <c r="G520" i="3" s="1"/>
  <c r="G521" i="3" a="1"/>
  <c r="G521" i="3" s="1"/>
  <c r="G522" i="3" a="1"/>
  <c r="G522" i="3" s="1"/>
  <c r="G523" i="3" a="1"/>
  <c r="G523" i="3" s="1"/>
  <c r="G524" i="3" a="1"/>
  <c r="G524" i="3" s="1"/>
  <c r="G525" i="3" a="1"/>
  <c r="G525" i="3" s="1"/>
  <c r="G526" i="3" a="1"/>
  <c r="G526" i="3" s="1"/>
  <c r="G527" i="3" a="1"/>
  <c r="G527" i="3" s="1"/>
  <c r="J35" i="3"/>
  <c r="J36" i="3"/>
  <c r="J37" i="3"/>
  <c r="J22" i="3"/>
  <c r="J23" i="3"/>
  <c r="J24" i="3"/>
  <c r="J25" i="3"/>
  <c r="J18" i="3"/>
  <c r="J19" i="3"/>
  <c r="J20" i="3"/>
  <c r="J21" i="3"/>
  <c r="J38" i="3"/>
  <c r="J39" i="3"/>
  <c r="J40" i="3"/>
  <c r="J41" i="3"/>
  <c r="J10" i="3"/>
  <c r="J11" i="3"/>
  <c r="J12" i="3"/>
  <c r="J13" i="3"/>
  <c r="J2" i="3"/>
  <c r="J3" i="3"/>
  <c r="J4" i="3"/>
  <c r="J5" i="3"/>
  <c r="J6" i="3"/>
  <c r="J7" i="3"/>
  <c r="J8" i="3"/>
  <c r="J9" i="3"/>
  <c r="J26" i="3"/>
  <c r="J27" i="3"/>
  <c r="J28" i="3"/>
  <c r="J29" i="3"/>
  <c r="J43" i="3"/>
  <c r="J42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I35" i="3"/>
  <c r="I36" i="3"/>
  <c r="I37" i="3"/>
  <c r="I22" i="3"/>
  <c r="I24" i="3"/>
  <c r="I25" i="3"/>
  <c r="I18" i="3"/>
  <c r="I19" i="3"/>
  <c r="I20" i="3"/>
  <c r="I21" i="3"/>
  <c r="I38" i="3"/>
  <c r="I39" i="3"/>
  <c r="I40" i="3"/>
  <c r="I41" i="3"/>
  <c r="I10" i="3"/>
  <c r="I11" i="3"/>
  <c r="I12" i="3"/>
  <c r="I13" i="3"/>
  <c r="I2" i="3"/>
  <c r="I3" i="3"/>
  <c r="I4" i="3"/>
  <c r="I5" i="3"/>
  <c r="I6" i="3"/>
  <c r="I7" i="3"/>
  <c r="I8" i="3"/>
  <c r="I9" i="3"/>
  <c r="I26" i="3"/>
  <c r="I27" i="3"/>
  <c r="I28" i="3"/>
  <c r="I29" i="3"/>
  <c r="I43" i="3"/>
  <c r="I42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J15" i="3"/>
  <c r="J16" i="3"/>
  <c r="J17" i="3"/>
  <c r="J34" i="3"/>
  <c r="I15" i="3"/>
  <c r="I16" i="3"/>
  <c r="I17" i="3"/>
  <c r="I34" i="3"/>
  <c r="J33" i="3"/>
  <c r="I33" i="3"/>
  <c r="J32" i="3"/>
  <c r="I32" i="3"/>
  <c r="J31" i="3"/>
  <c r="I31" i="3"/>
  <c r="J30" i="3"/>
  <c r="I30" i="3"/>
  <c r="E21" i="3" a="1"/>
  <c r="H23" i="3" a="1"/>
  <c r="E13" i="3" a="1"/>
  <c r="E35" i="3" a="1"/>
  <c r="E19" i="3" a="1"/>
  <c r="E8" i="3" a="1"/>
  <c r="E24" i="3" a="1"/>
  <c r="E37" i="3" a="1"/>
  <c r="E23" i="3" a="1"/>
  <c r="H19" i="3" a="1"/>
  <c r="E3" i="3" a="1"/>
  <c r="E20" i="3" a="1"/>
  <c r="E12" i="3" a="1"/>
  <c r="E25" i="3" a="1"/>
  <c r="E41" i="3" a="1"/>
  <c r="E15" i="3" a="1"/>
  <c r="E36" i="3" a="1"/>
  <c r="E17" i="3" a="1"/>
  <c r="E9" i="3" a="1"/>
  <c r="E11" i="3" a="1"/>
  <c r="E31" i="3" a="1"/>
  <c r="E7" i="3" a="1"/>
  <c r="E40" i="3" a="1"/>
  <c r="E33" i="3" a="1"/>
  <c r="E4" i="3" a="1"/>
  <c r="E32" i="3" a="1"/>
  <c r="E5" i="3" a="1"/>
  <c r="E39" i="3" a="1"/>
  <c r="E16" i="3" a="1"/>
  <c r="H19" i="3" l="1"/>
  <c r="E23" i="3"/>
  <c r="H23" i="3"/>
  <c r="E25" i="3"/>
  <c r="E20" i="3"/>
  <c r="E39" i="3"/>
  <c r="E5" i="3"/>
  <c r="E8" i="3"/>
  <c r="E35" i="3"/>
  <c r="E21" i="3"/>
  <c r="E40" i="3"/>
  <c r="E11" i="3"/>
  <c r="E9" i="3"/>
  <c r="E36" i="3"/>
  <c r="E41" i="3"/>
  <c r="E12" i="3"/>
  <c r="E3" i="3"/>
  <c r="E37" i="3"/>
  <c r="E24" i="3"/>
  <c r="E19" i="3"/>
  <c r="E13" i="3"/>
  <c r="E4" i="3"/>
  <c r="E7" i="3"/>
  <c r="E16" i="3"/>
  <c r="E17" i="3"/>
  <c r="E15" i="3"/>
  <c r="E32" i="3"/>
  <c r="E33" i="3"/>
  <c r="E31" i="3"/>
  <c r="F20" i="3" a="1"/>
  <c r="F3" i="3" a="1"/>
  <c r="F31" i="3" a="1"/>
  <c r="F39" i="3" a="1"/>
  <c r="F19" i="3" a="1"/>
  <c r="F13" i="3" a="1"/>
  <c r="F7" i="3" a="1"/>
  <c r="F17" i="3" a="1"/>
  <c r="F12" i="3" a="1"/>
  <c r="F24" i="3" a="1"/>
  <c r="F8" i="3" a="1"/>
  <c r="F35" i="3" a="1"/>
  <c r="F21" i="3" a="1"/>
  <c r="F16" i="3" a="1"/>
  <c r="F9" i="3" a="1"/>
  <c r="F15" i="3" a="1"/>
  <c r="F25" i="3" a="1"/>
  <c r="F25" i="3" l="1"/>
  <c r="F15" i="3"/>
  <c r="F9" i="3"/>
  <c r="F16" i="3"/>
  <c r="F21" i="3"/>
  <c r="F35" i="3"/>
  <c r="F8" i="3"/>
  <c r="F24" i="3"/>
  <c r="F12" i="3"/>
  <c r="F17" i="3"/>
  <c r="F7" i="3"/>
  <c r="F13" i="3"/>
  <c r="F19" i="3"/>
  <c r="F39" i="3"/>
  <c r="F31" i="3"/>
  <c r="F3" i="3"/>
  <c r="F20" i="3"/>
  <c r="J14" i="3"/>
  <c r="I14" i="3"/>
  <c r="E376" i="3" a="1"/>
  <c r="E403" i="3" a="1"/>
  <c r="E348" i="3" a="1"/>
  <c r="E107" i="3" a="1"/>
  <c r="E337" i="3" a="1"/>
  <c r="E18" i="3" a="1"/>
  <c r="E221" i="3" a="1"/>
  <c r="E390" i="3" a="1"/>
  <c r="E154" i="3" a="1"/>
  <c r="E93" i="3" a="1"/>
  <c r="E174" i="3" a="1"/>
  <c r="E436" i="3" a="1"/>
  <c r="E441" i="3" a="1"/>
  <c r="E448" i="3" a="1"/>
  <c r="E208" i="3" a="1"/>
  <c r="E247" i="3" a="1"/>
  <c r="E67" i="3" a="1"/>
  <c r="E58" i="3" a="1"/>
  <c r="E300" i="3" a="1"/>
  <c r="E519" i="3" a="1"/>
  <c r="E263" i="3" a="1"/>
  <c r="E146" i="3" a="1"/>
  <c r="E512" i="3" a="1"/>
  <c r="E257" i="3" a="1"/>
  <c r="E137" i="3" a="1"/>
  <c r="E356" i="3" a="1"/>
  <c r="E91" i="3" a="1"/>
  <c r="E205" i="3" a="1"/>
  <c r="E199" i="3" a="1"/>
  <c r="E312" i="3" a="1"/>
  <c r="E51" i="3" a="1"/>
  <c r="E290" i="3" a="1"/>
  <c r="E306" i="3" a="1"/>
  <c r="E200" i="3" a="1"/>
  <c r="E89" i="3" a="1"/>
  <c r="E295" i="3" a="1"/>
  <c r="E396" i="3" a="1"/>
  <c r="E254" i="3" a="1"/>
  <c r="E235" i="3" a="1"/>
  <c r="E69" i="3" a="1"/>
  <c r="E100" i="3" a="1"/>
  <c r="E86" i="3" a="1"/>
  <c r="E425" i="3" a="1"/>
  <c r="E331" i="3" a="1"/>
  <c r="E203" i="3" a="1"/>
  <c r="E66" i="3" a="1"/>
  <c r="E28" i="3" a="1"/>
  <c r="E360" i="3" a="1"/>
  <c r="E317" i="3" a="1"/>
  <c r="E259" i="3" a="1"/>
  <c r="E6" i="3" a="1"/>
  <c r="E372" i="3" a="1"/>
  <c r="E498" i="3" a="1"/>
  <c r="E34" i="3" a="1"/>
  <c r="E267" i="3" a="1"/>
  <c r="E435" i="3" a="1"/>
  <c r="E522" i="3" a="1"/>
  <c r="E155" i="3" a="1"/>
  <c r="E303" i="3" a="1"/>
  <c r="E227" i="3" a="1"/>
  <c r="E118" i="3" a="1"/>
  <c r="E157" i="3" a="1"/>
  <c r="E467" i="3" a="1"/>
  <c r="E44" i="3" a="1"/>
  <c r="E408" i="3" a="1"/>
  <c r="E305" i="3" a="1"/>
  <c r="E239" i="3" a="1"/>
  <c r="E421" i="3" a="1"/>
  <c r="E472" i="3" a="1"/>
  <c r="E354" i="3" a="1"/>
  <c r="E324" i="3" a="1"/>
  <c r="E527" i="3" a="1"/>
  <c r="E96" i="3" a="1"/>
  <c r="E109" i="3" a="1"/>
  <c r="E511" i="3" a="1"/>
  <c r="E370" i="3" a="1"/>
  <c r="E167" i="3" a="1"/>
  <c r="E299" i="3" a="1"/>
  <c r="E214" i="3" a="1"/>
  <c r="E458" i="3" a="1"/>
  <c r="E430" i="3" a="1"/>
  <c r="E501" i="3" a="1"/>
  <c r="E182" i="3" a="1"/>
  <c r="E114" i="3" a="1"/>
  <c r="E176" i="3" a="1"/>
  <c r="E92" i="3" a="1"/>
  <c r="E432" i="3" a="1"/>
  <c r="E460" i="3" a="1"/>
  <c r="E518" i="3" a="1"/>
  <c r="E289" i="3" a="1"/>
  <c r="E402" i="3" a="1"/>
  <c r="E248" i="3" a="1"/>
  <c r="E161" i="3" a="1"/>
  <c r="E219" i="3" a="1"/>
  <c r="E398" i="3" a="1"/>
  <c r="E49" i="3" a="1"/>
  <c r="E138" i="3" a="1"/>
  <c r="E392" i="3" a="1"/>
  <c r="E350" i="3" a="1"/>
  <c r="E111" i="3" a="1"/>
  <c r="E224" i="3" a="1"/>
  <c r="E330" i="3" a="1"/>
  <c r="E382" i="3" a="1"/>
  <c r="E327" i="3" a="1"/>
  <c r="E405" i="3" a="1"/>
  <c r="E278" i="3" a="1"/>
  <c r="E438" i="3" a="1"/>
  <c r="E175" i="3" a="1"/>
  <c r="E285" i="3" a="1"/>
  <c r="E188" i="3" a="1"/>
  <c r="E449" i="3" a="1"/>
  <c r="E124" i="3" a="1"/>
  <c r="E313" i="3" a="1"/>
  <c r="E262" i="3" a="1"/>
  <c r="E476" i="3" a="1"/>
  <c r="E343" i="3" a="1"/>
  <c r="E439" i="3" a="1"/>
  <c r="E87" i="3" a="1"/>
  <c r="E115" i="3" a="1"/>
  <c r="E60" i="3" a="1"/>
  <c r="E316" i="3" a="1"/>
  <c r="E433" i="3" a="1"/>
  <c r="E368" i="3" a="1"/>
  <c r="E345" i="3" a="1"/>
  <c r="E38" i="3" a="1"/>
  <c r="E140" i="3" a="1"/>
  <c r="E294" i="3" a="1"/>
  <c r="E75" i="3" a="1"/>
  <c r="E346" i="3" a="1"/>
  <c r="E148" i="3" a="1"/>
  <c r="E256" i="3" a="1"/>
  <c r="E274" i="3" a="1"/>
  <c r="E505" i="3" a="1"/>
  <c r="E250" i="3" a="1"/>
  <c r="E54" i="3" a="1"/>
  <c r="E318" i="3" a="1"/>
  <c r="E82" i="3" a="1"/>
  <c r="E507" i="3" a="1"/>
  <c r="E170" i="3" a="1"/>
  <c r="E121" i="3" a="1"/>
  <c r="E269" i="3" a="1"/>
  <c r="E136" i="3" a="1"/>
  <c r="E308" i="3" a="1"/>
  <c r="E400" i="3" a="1"/>
  <c r="E492" i="3" a="1"/>
  <c r="E46" i="3" a="1"/>
  <c r="E452" i="3" a="1"/>
  <c r="E353" i="3" a="1"/>
  <c r="E29" i="3" a="1"/>
  <c r="E468" i="3" a="1"/>
  <c r="E334" i="3" a="1"/>
  <c r="E207" i="3" a="1"/>
  <c r="E373" i="3" a="1"/>
  <c r="E240" i="3" a="1"/>
  <c r="E482" i="3" a="1"/>
  <c r="E74" i="3" a="1"/>
  <c r="E234" i="3" a="1"/>
  <c r="E407" i="3" a="1"/>
  <c r="E489" i="3" a="1"/>
  <c r="E226" i="3" a="1"/>
  <c r="E102" i="3" a="1"/>
  <c r="E292" i="3" a="1"/>
  <c r="E369" i="3" a="1"/>
  <c r="E158" i="3" a="1"/>
  <c r="E149" i="3" a="1"/>
  <c r="E413" i="3" a="1"/>
  <c r="E85" i="3" a="1"/>
  <c r="E194" i="3" a="1"/>
  <c r="E395" i="3" a="1"/>
  <c r="E416" i="3" a="1"/>
  <c r="E491" i="3" a="1"/>
  <c r="E503" i="3" a="1"/>
  <c r="E166" i="3" a="1"/>
  <c r="E246" i="3" a="1"/>
  <c r="E282" i="3" a="1"/>
  <c r="E186" i="3" a="1"/>
  <c r="E228" i="3" a="1"/>
  <c r="E127" i="3" a="1"/>
  <c r="E160" i="3" a="1"/>
  <c r="E223" i="3" a="1"/>
  <c r="E340" i="3" a="1"/>
  <c r="E71" i="3" a="1"/>
  <c r="E237" i="3" a="1"/>
  <c r="E110" i="3" a="1"/>
  <c r="E347" i="3" a="1"/>
  <c r="E367" i="3" a="1"/>
  <c r="E104" i="3" a="1"/>
  <c r="E525" i="3" a="1"/>
  <c r="E249" i="3" a="1"/>
  <c r="E253" i="3" a="1"/>
  <c r="E120" i="3" a="1"/>
  <c r="E514" i="3" a="1"/>
  <c r="E232" i="3" a="1"/>
  <c r="E258" i="3" a="1"/>
  <c r="E378" i="3" a="1"/>
  <c r="E359" i="3" a="1"/>
  <c r="E454" i="3" a="1"/>
  <c r="E62" i="3" a="1"/>
  <c r="E311" i="3" a="1"/>
  <c r="E10" i="3" a="1"/>
  <c r="E283" i="3" a="1"/>
  <c r="E129" i="3" a="1"/>
  <c r="E459" i="3" a="1"/>
  <c r="E255" i="3" a="1"/>
  <c r="E265" i="3" a="1"/>
  <c r="E101" i="3" a="1"/>
  <c r="E201" i="3" a="1"/>
  <c r="E465" i="3" a="1"/>
  <c r="E463" i="3" a="1"/>
  <c r="E117" i="3" a="1"/>
  <c r="E150" i="3" a="1"/>
  <c r="E363" i="3" a="1"/>
  <c r="E276" i="3" a="1"/>
  <c r="E385" i="3" a="1"/>
  <c r="E326" i="3" a="1"/>
  <c r="E212" i="3" a="1"/>
  <c r="E389" i="3" a="1"/>
  <c r="E113" i="3" a="1"/>
  <c r="E469" i="3" a="1"/>
  <c r="E336" i="3" a="1"/>
  <c r="E233" i="3" a="1"/>
  <c r="E231" i="3" a="1"/>
  <c r="E508" i="3" a="1"/>
  <c r="E417" i="3" a="1"/>
  <c r="E310" i="3" a="1"/>
  <c r="E128" i="3" a="1"/>
  <c r="E177" i="3" a="1"/>
  <c r="E342" i="3" a="1"/>
  <c r="E349" i="3" a="1"/>
  <c r="E84" i="3" a="1"/>
  <c r="E477" i="3" a="1"/>
  <c r="E377" i="3" a="1"/>
  <c r="E291" i="3" a="1"/>
  <c r="E352" i="3" a="1"/>
  <c r="E70" i="3" a="1"/>
  <c r="E414" i="3" a="1"/>
  <c r="E471" i="3" a="1"/>
  <c r="E217" i="3" a="1"/>
  <c r="E171" i="3" a="1"/>
  <c r="E487" i="3" a="1"/>
  <c r="E95" i="3" a="1"/>
  <c r="E106" i="3" a="1"/>
  <c r="E287" i="3" a="1"/>
  <c r="E151" i="3" a="1"/>
  <c r="E99" i="3" a="1"/>
  <c r="E191" i="3" a="1"/>
  <c r="E333" i="3" a="1"/>
  <c r="E206" i="3" a="1"/>
  <c r="E366" i="3" a="1"/>
  <c r="E455" i="3" a="1"/>
  <c r="E152" i="3" a="1"/>
  <c r="E252" i="3" a="1"/>
  <c r="E98" i="3" a="1"/>
  <c r="E72" i="3" a="1"/>
  <c r="E447" i="3" a="1"/>
  <c r="E73" i="3" a="1"/>
  <c r="E434" i="3" a="1"/>
  <c r="E213" i="3" a="1"/>
  <c r="E451" i="3" a="1"/>
  <c r="E43" i="3" a="1"/>
  <c r="E380" i="3" a="1"/>
  <c r="E122" i="3" a="1"/>
  <c r="E241" i="3" a="1"/>
  <c r="E68" i="3" a="1"/>
  <c r="E339" i="3" a="1"/>
  <c r="E298" i="3" a="1"/>
  <c r="E490" i="3" a="1"/>
  <c r="E284" i="3" a="1"/>
  <c r="E516" i="3" a="1"/>
  <c r="E335" i="3" a="1"/>
  <c r="E362" i="3" a="1"/>
  <c r="E81" i="3" a="1"/>
  <c r="E329" i="3" a="1"/>
  <c r="E450" i="3" a="1"/>
  <c r="E196" i="3" a="1"/>
  <c r="E478" i="3" a="1"/>
  <c r="E351" i="3" a="1"/>
  <c r="E517" i="3" a="1"/>
  <c r="E384" i="3" a="1"/>
  <c r="E192" i="3" a="1"/>
  <c r="E304" i="3" a="1"/>
  <c r="E297" i="3" a="1"/>
  <c r="E404" i="3" a="1"/>
  <c r="E500" i="3" a="1"/>
  <c r="E261" i="3" a="1"/>
  <c r="E462" i="3" a="1"/>
  <c r="E440" i="3" a="1"/>
  <c r="E172" i="3" a="1"/>
  <c r="E480" i="3" a="1"/>
  <c r="E57" i="3" a="1"/>
  <c r="E486" i="3" a="1"/>
  <c r="E187" i="3" a="1"/>
  <c r="E332" i="3" a="1"/>
  <c r="E123" i="3" a="1"/>
  <c r="E364" i="3" a="1"/>
  <c r="E197" i="3" a="1"/>
  <c r="E64" i="3" a="1"/>
  <c r="E236" i="3" a="1"/>
  <c r="E27" i="3" a="1"/>
  <c r="E513" i="3" a="1"/>
  <c r="E52" i="3" a="1"/>
  <c r="E323" i="3" a="1"/>
  <c r="E494" i="3" a="1"/>
  <c r="E119" i="3" a="1"/>
  <c r="E444" i="3" a="1"/>
  <c r="E108" i="3" a="1"/>
  <c r="E77" i="3" a="1"/>
  <c r="E315" i="3" a="1"/>
  <c r="E273" i="3" a="1"/>
  <c r="E156" i="3" a="1"/>
  <c r="E481" i="3" a="1"/>
  <c r="E466" i="3" a="1"/>
  <c r="E293" i="3" a="1"/>
  <c r="E268" i="3" a="1"/>
  <c r="E314" i="3" a="1"/>
  <c r="E83" i="3" a="1"/>
  <c r="E142" i="3" a="1"/>
  <c r="E386" i="3" a="1"/>
  <c r="E181" i="3" a="1"/>
  <c r="E48" i="3" a="1"/>
  <c r="E442" i="3" a="1"/>
  <c r="E374" i="3" a="1"/>
  <c r="E178" i="3" a="1"/>
  <c r="E412" i="3" a="1"/>
  <c r="E59" i="3" a="1"/>
  <c r="E215" i="3" a="1"/>
  <c r="E381" i="3" a="1"/>
  <c r="E112" i="3" a="1"/>
  <c r="E423" i="3" a="1"/>
  <c r="E456" i="3" a="1"/>
  <c r="E164" i="3" a="1"/>
  <c r="E338" i="3" a="1"/>
  <c r="E204" i="3" a="1"/>
  <c r="E275" i="3" a="1"/>
  <c r="E202" i="3" a="1"/>
  <c r="E30" i="3" a="1"/>
  <c r="E524" i="3" a="1"/>
  <c r="E173" i="3" a="1"/>
  <c r="E361" i="3" a="1"/>
  <c r="E229" i="3" a="1"/>
  <c r="E473" i="3" a="1"/>
  <c r="E271" i="3" a="1"/>
  <c r="E419" i="3" a="1"/>
  <c r="E431" i="3" a="1"/>
  <c r="E94" i="3" a="1"/>
  <c r="E116" i="3" a="1"/>
  <c r="E510" i="3" a="1"/>
  <c r="E209" i="3" a="1"/>
  <c r="E105" i="3" a="1"/>
  <c r="E198" i="3" a="1"/>
  <c r="E474" i="3" a="1"/>
  <c r="E185" i="3" a="1"/>
  <c r="E475" i="3" a="1"/>
  <c r="E420" i="3" a="1"/>
  <c r="E179" i="3" a="1"/>
  <c r="E180" i="3" a="1"/>
  <c r="E387" i="3" a="1"/>
  <c r="E371" i="3" a="1"/>
  <c r="E88" i="3" a="1"/>
  <c r="E443" i="3" a="1"/>
  <c r="E63" i="3" a="1"/>
  <c r="E230" i="3" a="1"/>
  <c r="E42" i="3" a="1"/>
  <c r="E509" i="3" a="1"/>
  <c r="E244" i="3" a="1"/>
  <c r="E45" i="3" a="1"/>
  <c r="E415" i="3" a="1"/>
  <c r="E78" i="3" a="1"/>
  <c r="E520" i="3" a="1"/>
  <c r="E383" i="3" a="1"/>
  <c r="E496" i="3" a="1"/>
  <c r="E56" i="3" a="1"/>
  <c r="E61" i="3" a="1"/>
  <c r="E245" i="3" a="1"/>
  <c r="E479" i="3" a="1"/>
  <c r="E133" i="3" a="1"/>
  <c r="E184" i="3" a="1"/>
  <c r="E307" i="3" a="1"/>
  <c r="E135" i="3" a="1"/>
  <c r="E302" i="3" a="1"/>
  <c r="E139" i="3" a="1"/>
  <c r="E497" i="3" a="1"/>
  <c r="E321" i="3" a="1"/>
  <c r="E243" i="3" a="1"/>
  <c r="E47" i="3" a="1"/>
  <c r="E418" i="3" a="1"/>
  <c r="E485" i="3" a="1"/>
  <c r="E145" i="3" a="1"/>
  <c r="E266" i="3" a="1"/>
  <c r="E53" i="3" a="1"/>
  <c r="E453" i="3" a="1"/>
  <c r="E264" i="3" a="1"/>
  <c r="E437" i="3" a="1"/>
  <c r="E488" i="3" a="1"/>
  <c r="E277" i="3" a="1"/>
  <c r="E461" i="3" a="1"/>
  <c r="E341" i="3" a="1"/>
  <c r="E238" i="3" a="1"/>
  <c r="E55" i="3" a="1"/>
  <c r="E375" i="3" a="1"/>
  <c r="E429" i="3" a="1"/>
  <c r="E272" i="3" a="1"/>
  <c r="E103" i="3" a="1"/>
  <c r="E411" i="3" a="1"/>
  <c r="E220" i="3" a="1"/>
  <c r="E97" i="3" a="1"/>
  <c r="E483" i="3" a="1"/>
  <c r="E169" i="3" a="1"/>
  <c r="E422" i="3" a="1"/>
  <c r="E183" i="3" a="1"/>
  <c r="E296" i="3" a="1"/>
  <c r="E365" i="3" a="1"/>
  <c r="E168" i="3" a="1"/>
  <c r="E410" i="3" a="1"/>
  <c r="E499" i="3" a="1"/>
  <c r="E162" i="3" a="1"/>
  <c r="E406" i="3" a="1"/>
  <c r="E279" i="3" a="1"/>
  <c r="E445" i="3" a="1"/>
  <c r="E14" i="3" a="1"/>
  <c r="E391" i="3" a="1"/>
  <c r="E288" i="3" a="1"/>
  <c r="E281" i="3" a="1"/>
  <c r="E428" i="3" a="1"/>
  <c r="E163" i="3" a="1"/>
  <c r="E325" i="3" a="1"/>
  <c r="E358" i="3" a="1"/>
  <c r="E397" i="3" a="1"/>
  <c r="E320" i="3" a="1"/>
  <c r="E427" i="3" a="1"/>
  <c r="E225" i="3" a="1"/>
  <c r="E195" i="3" a="1"/>
  <c r="E270" i="3" a="1"/>
  <c r="E502" i="3" a="1"/>
  <c r="E251" i="3" a="1"/>
  <c r="E426" i="3" a="1"/>
  <c r="E328" i="3" a="1"/>
  <c r="E322" i="3" a="1"/>
  <c r="E357" i="3" a="1"/>
  <c r="E399" i="3" a="1"/>
  <c r="E409" i="3" a="1"/>
  <c r="E457" i="3" a="1"/>
  <c r="E388" i="3" a="1"/>
  <c r="E90" i="3" a="1"/>
  <c r="E153" i="3" a="1"/>
  <c r="E79" i="3" a="1"/>
  <c r="E218" i="3" a="1"/>
  <c r="E141" i="3" a="1"/>
  <c r="E379" i="3" a="1"/>
  <c r="E147" i="3" a="1"/>
  <c r="E523" i="3" a="1"/>
  <c r="E280" i="3" a="1"/>
  <c r="E319" i="3" a="1"/>
  <c r="E211" i="3" a="1"/>
  <c r="E424" i="3" a="1"/>
  <c r="E470" i="3" a="1"/>
  <c r="E193" i="3" a="1"/>
  <c r="E210" i="3" a="1"/>
  <c r="E464" i="3" a="1"/>
  <c r="E65" i="3" a="1"/>
  <c r="E394" i="3" a="1"/>
  <c r="E126" i="3" a="1"/>
  <c r="E260" i="3" a="1"/>
  <c r="E521" i="3" a="1"/>
  <c r="E216" i="3" a="1"/>
  <c r="E26" i="3" a="1"/>
  <c r="E131" i="3" a="1"/>
  <c r="E504" i="3" a="1"/>
  <c r="E22" i="3" a="1"/>
  <c r="E484" i="3" a="1"/>
  <c r="E143" i="3" a="1"/>
  <c r="E309" i="3" a="1"/>
  <c r="E130" i="3" a="1"/>
  <c r="E190" i="3" a="1"/>
  <c r="E165" i="3" a="1"/>
  <c r="E515" i="3" a="1"/>
  <c r="E286" i="3" a="1"/>
  <c r="E526" i="3" a="1"/>
  <c r="E189" i="3" a="1"/>
  <c r="E506" i="3" a="1"/>
  <c r="E125" i="3" a="1"/>
  <c r="E159" i="3" a="1"/>
  <c r="E301" i="3" a="1"/>
  <c r="E222" i="3" a="1"/>
  <c r="E76" i="3" a="1"/>
  <c r="E355" i="3" a="1"/>
  <c r="E2" i="3" a="1"/>
  <c r="E50" i="3" a="1"/>
  <c r="E493" i="3" a="1"/>
  <c r="E144" i="3" a="1"/>
  <c r="E80" i="3" a="1"/>
  <c r="E446" i="3" a="1"/>
  <c r="E242" i="3" a="1"/>
  <c r="E393" i="3" a="1"/>
  <c r="E134" i="3" a="1"/>
  <c r="E132" i="3" a="1"/>
  <c r="E344" i="3" a="1"/>
  <c r="E495" i="3" a="1"/>
  <c r="E401" i="3" a="1"/>
  <c r="E521" i="3" l="1"/>
  <c r="E515" i="3"/>
  <c r="E509" i="3"/>
  <c r="E503" i="3"/>
  <c r="E497" i="3"/>
  <c r="E491" i="3"/>
  <c r="E485" i="3"/>
  <c r="E479" i="3"/>
  <c r="E473" i="3"/>
  <c r="E467" i="3"/>
  <c r="E461" i="3"/>
  <c r="E455" i="3"/>
  <c r="E449" i="3"/>
  <c r="E443" i="3"/>
  <c r="E437" i="3"/>
  <c r="E431" i="3"/>
  <c r="E425" i="3"/>
  <c r="E419" i="3"/>
  <c r="E413" i="3"/>
  <c r="E407" i="3"/>
  <c r="E401" i="3"/>
  <c r="E395" i="3"/>
  <c r="E389" i="3"/>
  <c r="E383" i="3"/>
  <c r="E377" i="3"/>
  <c r="E371" i="3"/>
  <c r="E365" i="3"/>
  <c r="E359" i="3"/>
  <c r="E353" i="3"/>
  <c r="E347" i="3"/>
  <c r="E341" i="3"/>
  <c r="E335" i="3"/>
  <c r="E329" i="3"/>
  <c r="E323" i="3"/>
  <c r="E317" i="3"/>
  <c r="E311" i="3"/>
  <c r="E305" i="3"/>
  <c r="E299" i="3"/>
  <c r="E293" i="3"/>
  <c r="E287" i="3"/>
  <c r="E281" i="3"/>
  <c r="E275" i="3"/>
  <c r="E269" i="3"/>
  <c r="E263" i="3"/>
  <c r="E257" i="3"/>
  <c r="E251" i="3"/>
  <c r="E245" i="3"/>
  <c r="E239" i="3"/>
  <c r="E233" i="3"/>
  <c r="E227" i="3"/>
  <c r="E221" i="3"/>
  <c r="E215" i="3"/>
  <c r="E209" i="3"/>
  <c r="E203" i="3"/>
  <c r="E197" i="3"/>
  <c r="E191" i="3"/>
  <c r="E185" i="3"/>
  <c r="E179" i="3"/>
  <c r="E173" i="3"/>
  <c r="E167" i="3"/>
  <c r="E161" i="3"/>
  <c r="E155" i="3"/>
  <c r="E149" i="3"/>
  <c r="E143" i="3"/>
  <c r="E137" i="3"/>
  <c r="E131" i="3"/>
  <c r="E125" i="3"/>
  <c r="E119" i="3"/>
  <c r="E113" i="3"/>
  <c r="E107" i="3"/>
  <c r="E101" i="3"/>
  <c r="E95" i="3"/>
  <c r="E89" i="3"/>
  <c r="E83" i="3"/>
  <c r="E77" i="3"/>
  <c r="E71" i="3"/>
  <c r="E65" i="3"/>
  <c r="E59" i="3"/>
  <c r="E53" i="3"/>
  <c r="E47" i="3"/>
  <c r="E29" i="3"/>
  <c r="E10" i="3"/>
  <c r="E30" i="3"/>
  <c r="E520" i="3"/>
  <c r="E514" i="3"/>
  <c r="E508" i="3"/>
  <c r="E502" i="3"/>
  <c r="E496" i="3"/>
  <c r="E490" i="3"/>
  <c r="E484" i="3"/>
  <c r="E478" i="3"/>
  <c r="E472" i="3"/>
  <c r="E466" i="3"/>
  <c r="E460" i="3"/>
  <c r="E454" i="3"/>
  <c r="E448" i="3"/>
  <c r="E442" i="3"/>
  <c r="E436" i="3"/>
  <c r="E430" i="3"/>
  <c r="E424" i="3"/>
  <c r="E418" i="3"/>
  <c r="E412" i="3"/>
  <c r="E406" i="3"/>
  <c r="E400" i="3"/>
  <c r="E394" i="3"/>
  <c r="E388" i="3"/>
  <c r="E382" i="3"/>
  <c r="E376" i="3"/>
  <c r="E370" i="3"/>
  <c r="E364" i="3"/>
  <c r="E358" i="3"/>
  <c r="E352" i="3"/>
  <c r="E346" i="3"/>
  <c r="E340" i="3"/>
  <c r="E334" i="3"/>
  <c r="E328" i="3"/>
  <c r="E322" i="3"/>
  <c r="E316" i="3"/>
  <c r="E310" i="3"/>
  <c r="E304" i="3"/>
  <c r="E298" i="3"/>
  <c r="E292" i="3"/>
  <c r="E286" i="3"/>
  <c r="E280" i="3"/>
  <c r="E274" i="3"/>
  <c r="E268" i="3"/>
  <c r="E262" i="3"/>
  <c r="E256" i="3"/>
  <c r="E250" i="3"/>
  <c r="E244" i="3"/>
  <c r="E238" i="3"/>
  <c r="E232" i="3"/>
  <c r="E226" i="3"/>
  <c r="E220" i="3"/>
  <c r="E214" i="3"/>
  <c r="E208" i="3"/>
  <c r="E202" i="3"/>
  <c r="E196" i="3"/>
  <c r="E190" i="3"/>
  <c r="E184" i="3"/>
  <c r="E178" i="3"/>
  <c r="E172" i="3"/>
  <c r="E166" i="3"/>
  <c r="E160" i="3"/>
  <c r="E154" i="3"/>
  <c r="E148" i="3"/>
  <c r="E142" i="3"/>
  <c r="E136" i="3"/>
  <c r="E130" i="3"/>
  <c r="E124" i="3"/>
  <c r="E118" i="3"/>
  <c r="E112" i="3"/>
  <c r="E106" i="3"/>
  <c r="E100" i="3"/>
  <c r="E94" i="3"/>
  <c r="E88" i="3"/>
  <c r="E82" i="3"/>
  <c r="E76" i="3"/>
  <c r="E70" i="3"/>
  <c r="E64" i="3"/>
  <c r="E58" i="3"/>
  <c r="E52" i="3"/>
  <c r="E46" i="3"/>
  <c r="E28" i="3"/>
  <c r="E38" i="3"/>
  <c r="G38" i="3" s="1" a="1"/>
  <c r="G38" i="3" s="1"/>
  <c r="E527" i="3"/>
  <c r="E525" i="3"/>
  <c r="E519" i="3"/>
  <c r="E513" i="3"/>
  <c r="E507" i="3"/>
  <c r="E501" i="3"/>
  <c r="E495" i="3"/>
  <c r="E489" i="3"/>
  <c r="E483" i="3"/>
  <c r="E477" i="3"/>
  <c r="E471" i="3"/>
  <c r="E465" i="3"/>
  <c r="E459" i="3"/>
  <c r="E453" i="3"/>
  <c r="E447" i="3"/>
  <c r="E441" i="3"/>
  <c r="E435" i="3"/>
  <c r="E429" i="3"/>
  <c r="E423" i="3"/>
  <c r="E417" i="3"/>
  <c r="E411" i="3"/>
  <c r="E405" i="3"/>
  <c r="E399" i="3"/>
  <c r="E393" i="3"/>
  <c r="E387" i="3"/>
  <c r="E381" i="3"/>
  <c r="E375" i="3"/>
  <c r="E369" i="3"/>
  <c r="E363" i="3"/>
  <c r="E357" i="3"/>
  <c r="E351" i="3"/>
  <c r="E345" i="3"/>
  <c r="E339" i="3"/>
  <c r="E333" i="3"/>
  <c r="E327" i="3"/>
  <c r="E321" i="3"/>
  <c r="E315" i="3"/>
  <c r="E309" i="3"/>
  <c r="E303" i="3"/>
  <c r="E297" i="3"/>
  <c r="E291" i="3"/>
  <c r="E285" i="3"/>
  <c r="E279" i="3"/>
  <c r="E273" i="3"/>
  <c r="E267" i="3"/>
  <c r="E261" i="3"/>
  <c r="E255" i="3"/>
  <c r="E249" i="3"/>
  <c r="E243" i="3"/>
  <c r="E237" i="3"/>
  <c r="E231" i="3"/>
  <c r="E225" i="3"/>
  <c r="E219" i="3"/>
  <c r="E213" i="3"/>
  <c r="E207" i="3"/>
  <c r="E201" i="3"/>
  <c r="E195" i="3"/>
  <c r="E189" i="3"/>
  <c r="E183" i="3"/>
  <c r="E177" i="3"/>
  <c r="E171" i="3"/>
  <c r="E165" i="3"/>
  <c r="E159" i="3"/>
  <c r="E153" i="3"/>
  <c r="E147" i="3"/>
  <c r="E141" i="3"/>
  <c r="E135" i="3"/>
  <c r="E129" i="3"/>
  <c r="E123" i="3"/>
  <c r="E117" i="3"/>
  <c r="E111" i="3"/>
  <c r="E105" i="3"/>
  <c r="E99" i="3"/>
  <c r="E93" i="3"/>
  <c r="E87" i="3"/>
  <c r="E81" i="3"/>
  <c r="E75" i="3"/>
  <c r="E69" i="3"/>
  <c r="E63" i="3"/>
  <c r="E57" i="3"/>
  <c r="E51" i="3"/>
  <c r="E45" i="3"/>
  <c r="E27" i="3"/>
  <c r="E18" i="3"/>
  <c r="E526" i="3"/>
  <c r="E524" i="3"/>
  <c r="E518" i="3"/>
  <c r="E512" i="3"/>
  <c r="E506" i="3"/>
  <c r="E500" i="3"/>
  <c r="E494" i="3"/>
  <c r="E488" i="3"/>
  <c r="E482" i="3"/>
  <c r="E476" i="3"/>
  <c r="E470" i="3"/>
  <c r="E464" i="3"/>
  <c r="E458" i="3"/>
  <c r="E452" i="3"/>
  <c r="E446" i="3"/>
  <c r="E440" i="3"/>
  <c r="E434" i="3"/>
  <c r="E428" i="3"/>
  <c r="E422" i="3"/>
  <c r="E416" i="3"/>
  <c r="E410" i="3"/>
  <c r="E404" i="3"/>
  <c r="E398" i="3"/>
  <c r="E392" i="3"/>
  <c r="E386" i="3"/>
  <c r="E380" i="3"/>
  <c r="E374" i="3"/>
  <c r="E368" i="3"/>
  <c r="E362" i="3"/>
  <c r="E356" i="3"/>
  <c r="E350" i="3"/>
  <c r="E344" i="3"/>
  <c r="E338" i="3"/>
  <c r="E332" i="3"/>
  <c r="E326" i="3"/>
  <c r="E320" i="3"/>
  <c r="E314" i="3"/>
  <c r="E308" i="3"/>
  <c r="E302" i="3"/>
  <c r="E296" i="3"/>
  <c r="E290" i="3"/>
  <c r="E284" i="3"/>
  <c r="E278" i="3"/>
  <c r="E272" i="3"/>
  <c r="E266" i="3"/>
  <c r="E260" i="3"/>
  <c r="E254" i="3"/>
  <c r="E248" i="3"/>
  <c r="E242" i="3"/>
  <c r="E236" i="3"/>
  <c r="E230" i="3"/>
  <c r="E224" i="3"/>
  <c r="E218" i="3"/>
  <c r="E212" i="3"/>
  <c r="E206" i="3"/>
  <c r="E200" i="3"/>
  <c r="E194" i="3"/>
  <c r="E188" i="3"/>
  <c r="E182" i="3"/>
  <c r="E176" i="3"/>
  <c r="E170" i="3"/>
  <c r="E164" i="3"/>
  <c r="E158" i="3"/>
  <c r="E152" i="3"/>
  <c r="E146" i="3"/>
  <c r="E140" i="3"/>
  <c r="E134" i="3"/>
  <c r="E128" i="3"/>
  <c r="E122" i="3"/>
  <c r="E116" i="3"/>
  <c r="E110" i="3"/>
  <c r="E104" i="3"/>
  <c r="E98" i="3"/>
  <c r="E92" i="3"/>
  <c r="E86" i="3"/>
  <c r="E80" i="3"/>
  <c r="E74" i="3"/>
  <c r="E68" i="3"/>
  <c r="E62" i="3"/>
  <c r="E56" i="3"/>
  <c r="E50" i="3"/>
  <c r="E44" i="3"/>
  <c r="E26" i="3"/>
  <c r="E22" i="3"/>
  <c r="E523" i="3"/>
  <c r="E517" i="3"/>
  <c r="E511" i="3"/>
  <c r="E505" i="3"/>
  <c r="E499" i="3"/>
  <c r="E493" i="3"/>
  <c r="E487" i="3"/>
  <c r="E481" i="3"/>
  <c r="E475" i="3"/>
  <c r="E469" i="3"/>
  <c r="E463" i="3"/>
  <c r="E457" i="3"/>
  <c r="E451" i="3"/>
  <c r="E445" i="3"/>
  <c r="E439" i="3"/>
  <c r="E433" i="3"/>
  <c r="E427" i="3"/>
  <c r="E421" i="3"/>
  <c r="E415" i="3"/>
  <c r="E409" i="3"/>
  <c r="E403" i="3"/>
  <c r="E397" i="3"/>
  <c r="E391" i="3"/>
  <c r="E385" i="3"/>
  <c r="E379" i="3"/>
  <c r="E373" i="3"/>
  <c r="E367" i="3"/>
  <c r="E361" i="3"/>
  <c r="E355" i="3"/>
  <c r="E349" i="3"/>
  <c r="E343" i="3"/>
  <c r="E337" i="3"/>
  <c r="E331" i="3"/>
  <c r="E325" i="3"/>
  <c r="E319" i="3"/>
  <c r="E313" i="3"/>
  <c r="E307" i="3"/>
  <c r="E301" i="3"/>
  <c r="E295" i="3"/>
  <c r="E289" i="3"/>
  <c r="E283" i="3"/>
  <c r="E277" i="3"/>
  <c r="E271" i="3"/>
  <c r="E265" i="3"/>
  <c r="E259" i="3"/>
  <c r="E253" i="3"/>
  <c r="E247" i="3"/>
  <c r="E241" i="3"/>
  <c r="E235" i="3"/>
  <c r="E229" i="3"/>
  <c r="E223" i="3"/>
  <c r="E217" i="3"/>
  <c r="E211" i="3"/>
  <c r="E205" i="3"/>
  <c r="E199" i="3"/>
  <c r="E193" i="3"/>
  <c r="E187" i="3"/>
  <c r="E181" i="3"/>
  <c r="E175" i="3"/>
  <c r="E169" i="3"/>
  <c r="E163" i="3"/>
  <c r="E157" i="3"/>
  <c r="E151" i="3"/>
  <c r="E145" i="3"/>
  <c r="E139" i="3"/>
  <c r="E133" i="3"/>
  <c r="E127" i="3"/>
  <c r="E121" i="3"/>
  <c r="E115" i="3"/>
  <c r="E109" i="3"/>
  <c r="E103" i="3"/>
  <c r="E97" i="3"/>
  <c r="E91" i="3"/>
  <c r="E85" i="3"/>
  <c r="E79" i="3"/>
  <c r="E73" i="3"/>
  <c r="E67" i="3"/>
  <c r="E61" i="3"/>
  <c r="E55" i="3"/>
  <c r="E49" i="3"/>
  <c r="E42" i="3"/>
  <c r="E6" i="3"/>
  <c r="G6" i="3" s="1" a="1"/>
  <c r="G6" i="3" s="1"/>
  <c r="E34" i="3"/>
  <c r="G34" i="3" s="1" a="1"/>
  <c r="G34" i="3" s="1"/>
  <c r="E522" i="3"/>
  <c r="E516" i="3"/>
  <c r="E510" i="3"/>
  <c r="E504" i="3"/>
  <c r="E498" i="3"/>
  <c r="E492" i="3"/>
  <c r="E486" i="3"/>
  <c r="E480" i="3"/>
  <c r="E474" i="3"/>
  <c r="E468" i="3"/>
  <c r="E462" i="3"/>
  <c r="E456" i="3"/>
  <c r="E450" i="3"/>
  <c r="E444" i="3"/>
  <c r="E438" i="3"/>
  <c r="E432" i="3"/>
  <c r="E426" i="3"/>
  <c r="E420" i="3"/>
  <c r="E414" i="3"/>
  <c r="E408" i="3"/>
  <c r="E402" i="3"/>
  <c r="E396" i="3"/>
  <c r="E390" i="3"/>
  <c r="E384" i="3"/>
  <c r="E378" i="3"/>
  <c r="E372" i="3"/>
  <c r="E366" i="3"/>
  <c r="E360" i="3"/>
  <c r="E354" i="3"/>
  <c r="E348" i="3"/>
  <c r="E342" i="3"/>
  <c r="E336" i="3"/>
  <c r="E330" i="3"/>
  <c r="E324" i="3"/>
  <c r="E318" i="3"/>
  <c r="E312" i="3"/>
  <c r="E306" i="3"/>
  <c r="E300" i="3"/>
  <c r="E294" i="3"/>
  <c r="E288" i="3"/>
  <c r="E282" i="3"/>
  <c r="E276" i="3"/>
  <c r="E270" i="3"/>
  <c r="E264" i="3"/>
  <c r="E258" i="3"/>
  <c r="E252" i="3"/>
  <c r="E246" i="3"/>
  <c r="E240" i="3"/>
  <c r="E234" i="3"/>
  <c r="E228" i="3"/>
  <c r="E222" i="3"/>
  <c r="E216" i="3"/>
  <c r="E210" i="3"/>
  <c r="E204" i="3"/>
  <c r="E198" i="3"/>
  <c r="E192" i="3"/>
  <c r="E186" i="3"/>
  <c r="E180" i="3"/>
  <c r="E174" i="3"/>
  <c r="E168" i="3"/>
  <c r="E162" i="3"/>
  <c r="E156" i="3"/>
  <c r="E150" i="3"/>
  <c r="E144" i="3"/>
  <c r="E138" i="3"/>
  <c r="E132" i="3"/>
  <c r="E126" i="3"/>
  <c r="E120" i="3"/>
  <c r="E114" i="3"/>
  <c r="E108" i="3"/>
  <c r="E102" i="3"/>
  <c r="E96" i="3"/>
  <c r="E90" i="3"/>
  <c r="E84" i="3"/>
  <c r="E78" i="3"/>
  <c r="E72" i="3"/>
  <c r="E66" i="3"/>
  <c r="E60" i="3"/>
  <c r="E54" i="3"/>
  <c r="E48" i="3"/>
  <c r="E43" i="3"/>
  <c r="E2" i="3"/>
  <c r="G2" i="3" s="1" a="1"/>
  <c r="G2" i="3" s="1"/>
  <c r="E14" i="3"/>
  <c r="G35" i="3" a="1"/>
  <c r="F28" i="3" a="1"/>
  <c r="F26" i="3" a="1"/>
  <c r="F29" i="3" a="1"/>
  <c r="H38" i="3" a="1"/>
  <c r="F18" i="3" a="1"/>
  <c r="F22" i="3" a="1"/>
  <c r="F14" i="3" a="1"/>
  <c r="F10" i="3" a="1"/>
  <c r="G3" i="3" a="1"/>
  <c r="F30" i="3" a="1"/>
  <c r="G7" i="3" a="1"/>
  <c r="G39" i="3" a="1"/>
  <c r="F30" i="3" l="1"/>
  <c r="F10" i="3"/>
  <c r="F14" i="3"/>
  <c r="F22" i="3"/>
  <c r="F18" i="3"/>
  <c r="H38" i="3"/>
  <c r="F29" i="3"/>
  <c r="F26" i="3"/>
  <c r="F28" i="3"/>
  <c r="G30" i="3" a="1"/>
  <c r="G30" i="3" s="1"/>
  <c r="G10" i="3" a="1"/>
  <c r="G10" i="3" s="1"/>
  <c r="G14" i="3" a="1"/>
  <c r="G14" i="3" s="1"/>
  <c r="G22" i="3" a="1"/>
  <c r="G22" i="3" s="1"/>
  <c r="G18" i="3" a="1"/>
  <c r="G18" i="3" s="1"/>
  <c r="G26" i="3" a="1"/>
  <c r="G26" i="3" s="1"/>
  <c r="G39" i="3"/>
  <c r="G35" i="3"/>
  <c r="G7" i="3"/>
  <c r="G3" i="3"/>
  <c r="G23" i="3" a="1"/>
  <c r="H22" i="3" a="1"/>
  <c r="G19" i="3" a="1"/>
  <c r="H18" i="3" a="1"/>
  <c r="G27" i="3" a="1"/>
  <c r="H26" i="3" a="1"/>
  <c r="G36" i="3" a="1"/>
  <c r="H39" i="3" a="1"/>
  <c r="G40" i="3" a="1"/>
  <c r="G8" i="3" a="1"/>
  <c r="G4" i="3" a="1"/>
  <c r="G31" i="3" a="1"/>
  <c r="H34" i="3" a="1"/>
  <c r="H30" i="3" a="1"/>
  <c r="G11" i="3" a="1"/>
  <c r="G15" i="3" a="1"/>
  <c r="H14" i="3" a="1"/>
  <c r="H14" i="3" l="1"/>
  <c r="G15" i="3"/>
  <c r="G11" i="3"/>
  <c r="H30" i="3"/>
  <c r="H34" i="3"/>
  <c r="G31" i="3"/>
  <c r="H39" i="3"/>
  <c r="H26" i="3"/>
  <c r="G27" i="3"/>
  <c r="H18" i="3"/>
  <c r="G19" i="3"/>
  <c r="H22" i="3"/>
  <c r="G23" i="3"/>
  <c r="G4" i="3"/>
  <c r="G8" i="3"/>
  <c r="G36" i="3"/>
  <c r="G40" i="3"/>
  <c r="G24" i="3" a="1"/>
  <c r="G16" i="3" a="1"/>
  <c r="H15" i="3" a="1"/>
  <c r="G41" i="3" a="1"/>
  <c r="G12" i="3" a="1"/>
  <c r="G32" i="3" a="1"/>
  <c r="H35" i="3" a="1"/>
  <c r="H31" i="3" a="1"/>
  <c r="G9" i="3" a="1"/>
  <c r="G5" i="3" a="1"/>
  <c r="G28" i="3" a="1"/>
  <c r="H27" i="3" a="1"/>
  <c r="H40" i="3" a="1"/>
  <c r="G37" i="3" a="1"/>
  <c r="G20" i="3" a="1"/>
  <c r="G20" i="3" l="1"/>
  <c r="H40" i="3"/>
  <c r="H27" i="3"/>
  <c r="G28" i="3"/>
  <c r="H31" i="3"/>
  <c r="H35" i="3"/>
  <c r="G32" i="3"/>
  <c r="G12" i="3"/>
  <c r="H15" i="3"/>
  <c r="G16" i="3"/>
  <c r="G24" i="3"/>
  <c r="G37" i="3"/>
  <c r="G9" i="3"/>
  <c r="G5" i="3"/>
  <c r="G41" i="3"/>
  <c r="G21" i="3" a="1"/>
  <c r="H20" i="3" a="1"/>
  <c r="G29" i="3" a="1"/>
  <c r="H28" i="3" a="1"/>
  <c r="H5" i="3" a="1"/>
  <c r="H36" i="3" a="1"/>
  <c r="G33" i="3" a="1"/>
  <c r="H32" i="3" a="1"/>
  <c r="G13" i="3" a="1"/>
  <c r="H41" i="3" a="1"/>
  <c r="G25" i="3" a="1"/>
  <c r="H24" i="3" a="1"/>
  <c r="H9" i="3" a="1"/>
  <c r="G17" i="3" a="1"/>
  <c r="H16" i="3" a="1"/>
  <c r="H16" i="3" l="1"/>
  <c r="G17" i="3"/>
  <c r="H9" i="3"/>
  <c r="H24" i="3"/>
  <c r="G25" i="3"/>
  <c r="H41" i="3"/>
  <c r="G13" i="3"/>
  <c r="H32" i="3"/>
  <c r="G33" i="3"/>
  <c r="H36" i="3"/>
  <c r="H5" i="3"/>
  <c r="H28" i="3"/>
  <c r="G29" i="3"/>
  <c r="H20" i="3"/>
  <c r="G21" i="3"/>
  <c r="H21" i="3" a="1"/>
  <c r="H13" i="3" a="1"/>
  <c r="H33" i="3" a="1"/>
  <c r="H17" i="3" a="1"/>
  <c r="H25" i="3" a="1"/>
  <c r="H29" i="3" a="1"/>
  <c r="H29" i="3" l="1"/>
  <c r="H25" i="3"/>
  <c r="H17" i="3"/>
  <c r="H33" i="3"/>
  <c r="H13" i="3"/>
  <c r="H2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<sst xmlns="http://schemas.openxmlformats.org/spreadsheetml/2006/main" count="10" uniqueCount="10">
  <si>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NOME</t>
  </si>
  <si>
    <t>CATEGORIA</t>
  </si>
  <si>
    <t>TEMPO</t>
  </si>
  <si>
    <t>Largada</t>
  </si>
  <si>
    <t>Chegada</t>
  </si>
  <si>
    <t>N°</t>
  </si>
  <si>
    <t>N°S</t>
  </si>
  <si>
    <t>Tempo Total</t>
  </si>
  <si>
    <t>Diferença</t>
  </si>
  <si>
    <t>Diferenca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</si>
</sst>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000000"/>
      <name val="Miriam Mono CLM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464820</xdr:colOff>
          <xdr:row>1</xdr:row>
          <xdr:rowOff>7620</xdr:rowOff>
        </xdr:from>
        <xdr:to>
          <xdr:col>14</xdr:col>
          <xdr:colOff>243840</xdr:colOff>
          <xdr:row>6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510540</xdr:colOff>
          <xdr:row>7</xdr:row>
          <xdr:rowOff>45720</xdr:rowOff>
        </xdr:from>
        <xdr:to>
          <xdr:col>14</xdr:col>
          <xdr:colOff>213360</xdr:colOff>
          <xdr:row>11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Escolha a especial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525780</xdr:colOff>
          <xdr:row>11</xdr:row>
          <xdr:rowOff>137160</xdr:rowOff>
        </xdr:from>
        <xdr:to>
          <xdr:col>14</xdr:col>
          <xdr:colOff>198120</xdr:colOff>
          <xdr:row>15</xdr:row>
          <xdr:rowOff>60960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563880</xdr:colOff>
          <xdr:row>16</xdr:row>
          <xdr:rowOff>0</xdr:rowOff>
        </xdr:from>
        <xdr:to>
          <xdr:col>14</xdr:col>
          <xdr:colOff>198120</xdr:colOff>
          <xdr:row>20</xdr:row>
          <xdr:rowOff>91440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a seleção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J527" totalsRowShown="0" headerRowDxfId="11" dataDxfId="10">
  <autoFilter ref="A1:J527" xr:uid="{2AEF9E24-BE67-48B3-9417-D70B11470EBC}"/>
  <sortState xmlns:xlrd2="http://schemas.microsoft.com/office/spreadsheetml/2017/richdata2" ref="A2:J527">
    <sortCondition ref="C1:C527"/>
  </sortState>
  <tableColumns count="10">
    <tableColumn id="1" xr3:uid="{9C804CB6-40DD-405A-9F0D-630B356631DC}" name="NOME" dataDxfId="9"/>
    <tableColumn id="2" xr3:uid="{36064455-A792-4579-BD9D-985721CAA71C}" name="CATEGORIA" dataDxfId="8"/>
    <tableColumn id="3" xr3:uid="{CFDE1D4F-BED8-4721-A694-495DC32A121B}" name="N°S" dataDxfId="7"/>
    <tableColumn id="9" xr3:uid="{E29BABB5-209D-406F-839E-67399A066F1A}" name="N°" dataDxfId="0">
      <calculatedColumnFormula>IFERROR(LEFT(Tabela1[[#This Row],[N°S]],LEN(Tabela1[[#This Row],[N°S]])-1),"")</calculatedColumnFormula>
    </tableColumn>
    <tableColumn id="4" xr3:uid="{BA05D52B-6EC9-408D-9401-FFFBEBD033DC}" name="TEMPO" dataDxfId="6">
      <calculatedColumnFormula array="1">IFERROR(time_diff_cor(Tabela1[[#This Row],[Largada]],Tabela1[[#This Row],[Chegada]]),"00:20:00:000")</calculatedColumnFormula>
    </tableColumn>
    <tableColumn id="5" xr3:uid="{DFB05565-5703-4CAF-85D8-5B41CC799E31}" name="Diferenca" dataDxfId="1"/>
    <tableColumn id="8" xr3:uid="{5182BE2A-5D12-4199-8864-973B4679E192}" name="Tempo Total" dataDxfId="5">
      <calculatedColumnFormula array="1">IF(Tabela1[[#This Row],[N°S]]="","NONE",IF(Tabela1[[#This Row],[N°]]=D1,time_sum(G1,Tabela1[[#This Row],[TEMPO]]),Tabela1[[#This Row],[TEMPO]]))</calculatedColumnFormula>
    </tableColumn>
    <tableColumn id="10" xr3:uid="{4473A36D-506E-48EE-8DBC-1F0537CA31C7}" name="Diferença" dataDxfId="4"/>
    <tableColumn id="6" xr3:uid="{7F8351BE-593B-4983-AE6D-BA380ADCF5FB}" name="Largada" dataDxfId="3">
      <calculatedColumnFormula>VLOOKUP(#REF!,LARGADA!A:B,2,FALSE)</calculatedColumnFormula>
    </tableColumn>
    <tableColumn id="7" xr3:uid="{52BDCF59-DC80-498E-BF6C-39DE1B92B683}" name="Chegada" dataDxfId="2">
      <calculatedColumnFormula>VLOOKUP(#REF!,CHEGADA!A:B,2,FALSE)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A1"/>
  <sheetViews>
    <sheetView workbookViewId="0"/>
  </sheetViews>
  <sheetFormatPr defaultRowHeight="14.4"/>
  <sheetData/>
  <sortState xmlns:xlrd2="http://schemas.microsoft.com/office/spreadsheetml/2017/richdata2" ref="A1:B173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/>
  </sheetViews>
  <sheetFormatPr defaultRowHeight="14.4"/>
  <sheetData/>
  <sortState xmlns:xlrd2="http://schemas.microsoft.com/office/spreadsheetml/2017/richdata2" ref="A1:B92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J527"/>
  <sheetViews>
    <sheetView tabSelected="1" workbookViewId="0">
      <selection activeCell="C9" sqref="C9"/>
    </sheetView>
  </sheetViews>
  <sheetFormatPr defaultRowHeight="14.4"/>
  <cols>
    <col min="1" max="1" width="8.77734375" style="2" bestFit="1" customWidth="1"/>
    <col min="2" max="2" width="13" style="1" customWidth="1"/>
    <col min="3" max="3" width="6.21875" style="2" bestFit="1" customWidth="1"/>
    <col min="4" max="4" width="5.21875" style="2" bestFit="1" customWidth="1"/>
    <col min="5" max="5" width="11.6640625" style="1" customWidth="1"/>
    <col min="6" max="6" width="11.6640625" style="1" hidden="1" customWidth="1"/>
    <col min="7" max="7" width="13.77734375" style="1" bestFit="1" customWidth="1"/>
    <col min="8" max="8" width="13.77734375" style="1" hidden="1" customWidth="1"/>
    <col min="9" max="10" width="11.6640625" style="1" bestFit="1" customWidth="1"/>
    <col min="11" max="16384" width="8.88671875" style="1"/>
  </cols>
  <sheetData>
    <row r="1" spans="1:10">
      <c r="A1" s="2" t="s">
        <v>0</v>
      </c>
      <c r="B1" s="1" t="s">
        <v>1</v>
      </c>
      <c r="C1" s="2" t="s">
        <v>6</v>
      </c>
      <c r="D1" s="2" t="s">
        <v>5</v>
      </c>
      <c r="E1" s="1" t="s">
        <v>2</v>
      </c>
      <c r="F1" s="1" t="s">
        <v>9</v>
      </c>
      <c r="G1" s="1" t="s">
        <v>7</v>
      </c>
      <c r="H1" s="1" t="s">
        <v>8</v>
      </c>
      <c r="I1" s="1" t="s">
        <v>3</v>
      </c>
      <c r="J1" s="1" t="s">
        <v>4</v>
      </c>
    </row>
    <row r="2" spans="1:10">
      <c r="D2" s="2" t="str">
        <f>IFERROR(LEFT(Tabela1[[#This Row],[N°S]],LEN(Tabela1[[#This Row],[N°S]])-1),"")</f>
        <v/>
      </c>
      <c r="E2" s="1" t="str" cm="1">
        <f t="array" ref="E2">IFERROR(time_diff_cor(Tabela1[[#This Row],[Largada]],Tabela1[[#This Row],[Chegada]]),"00:20:00:000")</f>
        <v>00:20:00:000</v>
      </c>
      <c r="G2" s="1" t="str" cm="1">
        <f t="array" ref="G2">IF(Tabela1[[#This Row],[N°S]]="","NONE",IF(Tabela1[[#This Row],[N°]]=D1,time_sum(G1,Tabela1[[#This Row],[TEMPO]]),Tabela1[[#This Row],[TEMPO]]))</f>
        <v>NONE</v>
      </c>
      <c r="I2" s="1" t="e">
        <f>VLOOKUP(C2,LARGADA!A:B,2,FALSE)</f>
        <v>#N/A</v>
      </c>
      <c r="J2" s="1" t="e">
        <f>VLOOKUP(C2,CHEGADA!A:B,2,FALSE)</f>
        <v>#N/A</v>
      </c>
    </row>
    <row r="3" spans="1:10">
      <c r="D3" s="2" t="str">
        <f>IFERROR(LEFT(Tabela1[[#This Row],[N°S]],LEN(Tabela1[[#This Row],[N°S]])-1),"")</f>
        <v/>
      </c>
      <c r="E3" s="1" t="str" cm="1">
        <f t="array" ref="E3">IFERROR(time_diff_cor(Tabela1[[#This Row],[Largada]],Tabela1[[#This Row],[Chegada]]),"00:20:00:000")</f>
        <v>00:20:00:000</v>
      </c>
      <c r="F3" s="1" t="str" cm="1">
        <f t="array" ref="F3">time_diff($E$3,Tabela1[[#This Row],[TEMPO]])</f>
        <v>00:00:00:00</v>
      </c>
      <c r="G3" s="1" t="str" cm="1">
        <f t="array" ref="G3">IF(Tabela1[[#This Row],[N°S]]="","NONE",IF(Tabela1[[#This Row],[N°]]=D2,time_sum(G2,Tabela1[[#This Row],[TEMPO]]),Tabela1[[#This Row],[TEMPO]]))</f>
        <v>NONE</v>
      </c>
      <c r="I3" s="1" t="e">
        <f>VLOOKUP(C3,LARGADA!A:B,2,FALSE)</f>
        <v>#N/A</v>
      </c>
      <c r="J3" s="1" t="e">
        <f>VLOOKUP(C3,CHEGADA!A:B,2,FALSE)</f>
        <v>#N/A</v>
      </c>
    </row>
    <row r="4" spans="1:10">
      <c r="D4" s="2" t="str">
        <f>IFERROR(LEFT(Tabela1[[#This Row],[N°S]],LEN(Tabela1[[#This Row],[N°S]])-1),"")</f>
        <v/>
      </c>
      <c r="E4" s="1" t="str" cm="1">
        <f t="array" ref="E4">IFERROR(time_diff_cor(Tabela1[[#This Row],[Largada]],Tabela1[[#This Row],[Chegada]]),"00:20:00:000")</f>
        <v>00:20:00:000</v>
      </c>
      <c r="G4" s="1" t="str" cm="1">
        <f t="array" ref="G4">IF(Tabela1[[#This Row],[N°S]]="","NONE",IF(Tabela1[[#This Row],[N°]]=D3,time_sum(G3,Tabela1[[#This Row],[TEMPO]]),Tabela1[[#This Row],[TEMPO]]))</f>
        <v>NONE</v>
      </c>
      <c r="I4" s="1" t="e">
        <f>VLOOKUP(C4,LARGADA!A:B,2,FALSE)</f>
        <v>#N/A</v>
      </c>
      <c r="J4" s="1" t="e">
        <f>VLOOKUP(C4,CHEGADA!A:B,2,FALSE)</f>
        <v>#N/A</v>
      </c>
    </row>
    <row r="5" spans="1:10">
      <c r="D5" s="2" t="str">
        <f>IFERROR(LEFT(Tabela1[[#This Row],[N°S]],LEN(Tabela1[[#This Row],[N°S]])-1),"")</f>
        <v/>
      </c>
      <c r="E5" s="1" t="str" cm="1">
        <f t="array" ref="E5">IFERROR(time_diff_cor(Tabela1[[#This Row],[Largada]],Tabela1[[#This Row],[Chegada]]),"00:20:00:000")</f>
        <v>00:20:00:000</v>
      </c>
      <c r="G5" s="1" t="str" cm="1">
        <f t="array" ref="G5">IF(Tabela1[[#This Row],[N°S]]="","NONE",IF(Tabela1[[#This Row],[N°]]=D4,time_sum(G4,Tabela1[[#This Row],[TEMPO]]),Tabela1[[#This Row],[TEMPO]]))</f>
        <v>NONE</v>
      </c>
      <c r="H5" s="1" t="e" cm="1">
        <f t="array" ref="H5">time_diff(G1,Tabela1[[#This Row],[Tempo Total]])</f>
        <v>#VALUE!</v>
      </c>
      <c r="I5" s="1" t="e">
        <f>VLOOKUP(C5,LARGADA!A:B,2,FALSE)</f>
        <v>#N/A</v>
      </c>
      <c r="J5" s="1" t="e">
        <f>VLOOKUP(C5,CHEGADA!A:B,2,FALSE)</f>
        <v>#N/A</v>
      </c>
    </row>
    <row r="6" spans="1:10" s="2" customFormat="1">
      <c r="B6" s="1"/>
      <c r="D6" s="2" t="str">
        <f>IFERROR(LEFT(Tabela1[[#This Row],[N°S]],LEN(Tabela1[[#This Row],[N°S]])-1),"")</f>
        <v/>
      </c>
      <c r="E6" s="1" t="str" cm="1">
        <f t="array" ref="E6">IFERROR(time_diff_cor(Tabela1[[#This Row],[Largada]],Tabela1[[#This Row],[Chegada]]),"00:20:00:000")</f>
        <v>00:20:00:000</v>
      </c>
      <c r="F6" s="1"/>
      <c r="G6" s="1" t="str" cm="1">
        <f t="array" ref="G6">IF(Tabela1[[#This Row],[N°S]]="","NONE",IF(Tabela1[[#This Row],[N°]]=D5,time_sum(G5,Tabela1[[#This Row],[TEMPO]]),Tabela1[[#This Row],[TEMPO]]))</f>
        <v>NONE</v>
      </c>
      <c r="H6" s="1"/>
      <c r="I6" s="1" t="e">
        <f>VLOOKUP(C6,LARGADA!A:B,2,FALSE)</f>
        <v>#N/A</v>
      </c>
      <c r="J6" s="1" t="e">
        <f>VLOOKUP(C6,CHEGADA!A:B,2,FALSE)</f>
        <v>#N/A</v>
      </c>
    </row>
    <row r="7" spans="1:10" s="2" customFormat="1">
      <c r="B7" s="1"/>
      <c r="D7" s="2" t="str">
        <f>IFERROR(LEFT(Tabela1[[#This Row],[N°S]],LEN(Tabela1[[#This Row],[N°S]])-1),"")</f>
        <v/>
      </c>
      <c r="E7" s="1" t="str" cm="1">
        <f t="array" ref="E7">IFERROR(time_diff_cor(Tabela1[[#This Row],[Largada]],Tabela1[[#This Row],[Chegada]]),"00:20:00:000")</f>
        <v>00:20:00:000</v>
      </c>
      <c r="F7" s="1" t="str" cm="1">
        <f t="array" ref="F7">time_diff($E$3,Tabela1[[#This Row],[TEMPO]])</f>
        <v>00:00:00:00</v>
      </c>
      <c r="G7" s="1" t="str" cm="1">
        <f t="array" ref="G7">IF(Tabela1[[#This Row],[N°S]]="","NONE",IF(Tabela1[[#This Row],[N°]]=D6,time_sum(G6,Tabela1[[#This Row],[TEMPO]]),Tabela1[[#This Row],[TEMPO]]))</f>
        <v>NONE</v>
      </c>
      <c r="H7" s="1"/>
      <c r="I7" s="1" t="e">
        <f>VLOOKUP(C7,LARGADA!A:B,2,FALSE)</f>
        <v>#N/A</v>
      </c>
      <c r="J7" s="1" t="e">
        <f>VLOOKUP(C7,CHEGADA!A:B,2,FALSE)</f>
        <v>#N/A</v>
      </c>
    </row>
    <row r="8" spans="1:10" s="2" customFormat="1">
      <c r="B8" s="1"/>
      <c r="D8" s="2" t="str">
        <f>IFERROR(LEFT(Tabela1[[#This Row],[N°S]],LEN(Tabela1[[#This Row],[N°S]])-1),"")</f>
        <v/>
      </c>
      <c r="E8" s="1" t="str" cm="1">
        <f t="array" ref="E8">IFERROR(time_diff_cor(Tabela1[[#This Row],[Largada]],Tabela1[[#This Row],[Chegada]]),"00:20:00:000")</f>
        <v>00:20:00:000</v>
      </c>
      <c r="F8" s="1" t="str" cm="1">
        <f t="array" ref="F8">time_diff($E$3,Tabela1[[#This Row],[TEMPO]])</f>
        <v>00:00:00:00</v>
      </c>
      <c r="G8" s="1" t="str" cm="1">
        <f t="array" ref="G8">IF(Tabela1[[#This Row],[N°S]]="","NONE",IF(Tabela1[[#This Row],[N°]]=D7,time_sum(G7,Tabela1[[#This Row],[TEMPO]]),Tabela1[[#This Row],[TEMPO]]))</f>
        <v>NONE</v>
      </c>
      <c r="H8" s="1"/>
      <c r="I8" s="1" t="e">
        <f>VLOOKUP(C8,LARGADA!A:B,2,FALSE)</f>
        <v>#N/A</v>
      </c>
      <c r="J8" s="1" t="e">
        <f>VLOOKUP(C8,CHEGADA!A:B,2,FALSE)</f>
        <v>#N/A</v>
      </c>
    </row>
    <row r="9" spans="1:10" s="2" customFormat="1">
      <c r="B9" s="1"/>
      <c r="D9" s="2" t="str">
        <f>IFERROR(LEFT(Tabela1[[#This Row],[N°S]],LEN(Tabela1[[#This Row],[N°S]])-1),"")</f>
        <v/>
      </c>
      <c r="E9" s="1" t="str" cm="1">
        <f t="array" ref="E9">IFERROR(time_diff_cor(Tabela1[[#This Row],[Largada]],Tabela1[[#This Row],[Chegada]]),"00:20:00:000")</f>
        <v>00:20:00:000</v>
      </c>
      <c r="F9" s="1" t="str" cm="1">
        <f t="array" ref="F9">time_diff($E$3,Tabela1[[#This Row],[TEMPO]])</f>
        <v>00:00:00:00</v>
      </c>
      <c r="G9" s="1" t="str" cm="1">
        <f t="array" ref="G9">IF(Tabela1[[#This Row],[N°S]]="","NONE",IF(Tabela1[[#This Row],[N°]]=D8,time_sum(G8,Tabela1[[#This Row],[TEMPO]]),Tabela1[[#This Row],[TEMPO]]))</f>
        <v>NONE</v>
      </c>
      <c r="H9" s="1" t="e" cm="1">
        <f t="array" ref="H9">time_diff(G5,Tabela1[[#This Row],[Tempo Total]])</f>
        <v>#VALUE!</v>
      </c>
      <c r="I9" s="1" t="e">
        <f>VLOOKUP(C9,LARGADA!A:B,2,FALSE)</f>
        <v>#N/A</v>
      </c>
      <c r="J9" s="1" t="e">
        <f>VLOOKUP(C9,CHEGADA!A:B,2,FALSE)</f>
        <v>#N/A</v>
      </c>
    </row>
    <row r="10" spans="1:10">
      <c r="D10" s="2" t="str">
        <f>IFERROR(LEFT(Tabela1[[#This Row],[N°S]],LEN(Tabela1[[#This Row],[N°S]])-1),"")</f>
        <v/>
      </c>
      <c r="E10" s="1" t="str" cm="1">
        <f t="array" ref="E10">IFERROR(time_diff_cor(Tabela1[[#This Row],[Largada]],Tabela1[[#This Row],[Chegada]]),"00:20:00:000")</f>
        <v>00:20:00:000</v>
      </c>
      <c r="F10" s="1" t="str" cm="1">
        <f t="array" ref="F10">time_diff($E$3,Tabela1[[#This Row],[TEMPO]])</f>
        <v>00:00:00:00</v>
      </c>
      <c r="G10" s="1" t="str" cm="1">
        <f t="array" ref="G10">IF(Tabela1[[#This Row],[N°S]]="","NONE",IF(Tabela1[[#This Row],[N°]]=D9,time_sum(G9,Tabela1[[#This Row],[TEMPO]]),Tabela1[[#This Row],[TEMPO]]))</f>
        <v>NONE</v>
      </c>
      <c r="I10" s="1" t="e">
        <f>VLOOKUP(C10,LARGADA!A:B,2,FALSE)</f>
        <v>#N/A</v>
      </c>
      <c r="J10" s="1" t="e">
        <f>VLOOKUP(C10,CHEGADA!A:B,2,FALSE)</f>
        <v>#N/A</v>
      </c>
    </row>
    <row r="11" spans="1:10">
      <c r="D11" s="2" t="str">
        <f>IFERROR(LEFT(Tabela1[[#This Row],[N°S]],LEN(Tabela1[[#This Row],[N°S]])-1),"")</f>
        <v/>
      </c>
      <c r="E11" s="1" t="str" cm="1">
        <f t="array" ref="E11">IFERROR(time_diff_cor(Tabela1[[#This Row],[Largada]],Tabela1[[#This Row],[Chegada]]),"00:20:00:000")</f>
        <v>00:20:00:000</v>
      </c>
      <c r="G11" s="1" t="str" cm="1">
        <f t="array" ref="G11">IF(Tabela1[[#This Row],[N°S]]="","NONE",IF(Tabela1[[#This Row],[N°]]=D10,time_sum(G10,Tabela1[[#This Row],[TEMPO]]),Tabela1[[#This Row],[TEMPO]]))</f>
        <v>NONE</v>
      </c>
      <c r="I11" s="1" t="e">
        <f>VLOOKUP(C11,LARGADA!A:B,2,FALSE)</f>
        <v>#N/A</v>
      </c>
      <c r="J11" s="1" t="e">
        <f>VLOOKUP(C11,CHEGADA!A:B,2,FALSE)</f>
        <v>#N/A</v>
      </c>
    </row>
    <row r="12" spans="1:10">
      <c r="D12" s="2" t="str">
        <f>IFERROR(LEFT(Tabela1[[#This Row],[N°S]],LEN(Tabela1[[#This Row],[N°S]])-1),"")</f>
        <v/>
      </c>
      <c r="E12" s="1" t="str" cm="1">
        <f t="array" ref="E12">IFERROR(time_diff_cor(Tabela1[[#This Row],[Largada]],Tabela1[[#This Row],[Chegada]]),"00:20:00:000")</f>
        <v>00:20:00:000</v>
      </c>
      <c r="F12" s="1" t="str" cm="1">
        <f t="array" ref="F12">time_diff($E$3,Tabela1[[#This Row],[TEMPO]])</f>
        <v>00:00:00:00</v>
      </c>
      <c r="G12" s="1" t="str" cm="1">
        <f t="array" ref="G12">IF(Tabela1[[#This Row],[N°S]]="","NONE",IF(Tabela1[[#This Row],[N°]]=D11,time_sum(G11,Tabela1[[#This Row],[TEMPO]]),Tabela1[[#This Row],[TEMPO]]))</f>
        <v>NONE</v>
      </c>
      <c r="I12" s="1" t="e">
        <f>VLOOKUP(C12,LARGADA!A:B,2,FALSE)</f>
        <v>#N/A</v>
      </c>
      <c r="J12" s="1" t="e">
        <f>VLOOKUP(C12,CHEGADA!A:B,2,FALSE)</f>
        <v>#N/A</v>
      </c>
    </row>
    <row r="13" spans="1:10">
      <c r="D13" s="2" t="str">
        <f>IFERROR(LEFT(Tabela1[[#This Row],[N°S]],LEN(Tabela1[[#This Row],[N°S]])-1),"")</f>
        <v/>
      </c>
      <c r="E13" s="1" t="str" cm="1">
        <f t="array" ref="E13">IFERROR(time_diff_cor(Tabela1[[#This Row],[Largada]],Tabela1[[#This Row],[Chegada]]),"00:20:00:000")</f>
        <v>00:20:00:000</v>
      </c>
      <c r="F13" s="1" t="str" cm="1">
        <f t="array" ref="F13">time_diff($E$3,Tabela1[[#This Row],[TEMPO]])</f>
        <v>00:00:00:00</v>
      </c>
      <c r="G13" s="1" t="str" cm="1">
        <f t="array" ref="G13">IF(Tabela1[[#This Row],[N°S]]="","NONE",IF(Tabela1[[#This Row],[N°]]=D12,time_sum(G12,Tabela1[[#This Row],[TEMPO]]),Tabela1[[#This Row],[TEMPO]]))</f>
        <v>NONE</v>
      </c>
      <c r="H13" s="1" t="e" cm="1">
        <f t="array" ref="H13">time_diff(G9,Tabela1[[#This Row],[Tempo Total]])</f>
        <v>#VALUE!</v>
      </c>
      <c r="I13" s="1" t="e">
        <f>VLOOKUP(C13,LARGADA!A:B,2,FALSE)</f>
        <v>#N/A</v>
      </c>
      <c r="J13" s="1" t="e">
        <f>VLOOKUP(C13,CHEGADA!A:B,2,FALSE)</f>
        <v>#N/A</v>
      </c>
    </row>
    <row r="14" spans="1:10">
      <c r="D14" s="2" t="str">
        <f>IFERROR(LEFT(Tabela1[[#This Row],[N°S]],LEN(Tabela1[[#This Row],[N°S]])-1),"")</f>
        <v/>
      </c>
      <c r="E14" s="1" t="str" cm="1">
        <f t="array" ref="E14">IFERROR(time_diff_cor(Tabela1[[#This Row],[Largada]],Tabela1[[#This Row],[Chegada]]),"00:20:00:000")</f>
        <v>00:20:00:000</v>
      </c>
      <c r="F14" s="1" t="str" cm="1">
        <f t="array" ref="F14">time_diff($E$3,Tabela1[[#This Row],[TEMPO]])</f>
        <v>00:00:00:00</v>
      </c>
      <c r="G14" s="1" t="str" cm="1">
        <f t="array" ref="G14">IF(Tabela1[[#This Row],[N°S]]="","NONE",IF(Tabela1[[#This Row],[N°]]=D13,time_sum(G13,Tabela1[[#This Row],[TEMPO]]),Tabela1[[#This Row],[TEMPO]]))</f>
        <v>NONE</v>
      </c>
      <c r="H14" s="1" t="e" cm="1">
        <f t="array" ref="H14">time_diff(G10,Tabela1[[#This Row],[Tempo Total]])</f>
        <v>#VALUE!</v>
      </c>
      <c r="I14" s="1" t="e">
        <f>VLOOKUP(C14,LARGADA!A:B,2,FALSE)</f>
        <v>#N/A</v>
      </c>
      <c r="J14" s="1" t="e">
        <f>VLOOKUP(C14,CHEGADA!A:B,2,FALSE)</f>
        <v>#N/A</v>
      </c>
    </row>
    <row r="15" spans="1:10">
      <c r="D15" s="2" t="str">
        <f>IFERROR(LEFT(Tabela1[[#This Row],[N°S]],LEN(Tabela1[[#This Row],[N°S]])-1),"")</f>
        <v/>
      </c>
      <c r="E15" s="1" t="str" cm="1">
        <f t="array" ref="E15">IFERROR(time_diff_cor(Tabela1[[#This Row],[Largada]],Tabela1[[#This Row],[Chegada]]),"00:20:00:000")</f>
        <v>00:20:00:000</v>
      </c>
      <c r="F15" s="1" t="str" cm="1">
        <f t="array" ref="F15">time_diff($E$3,Tabela1[[#This Row],[TEMPO]])</f>
        <v>00:00:00:00</v>
      </c>
      <c r="G15" s="1" t="str" cm="1">
        <f t="array" ref="G15">IF(Tabela1[[#This Row],[N°S]]="","NONE",IF(Tabela1[[#This Row],[N°]]=D14,time_sum(G14,Tabela1[[#This Row],[TEMPO]]),Tabela1[[#This Row],[TEMPO]]))</f>
        <v>NONE</v>
      </c>
      <c r="H15" s="1" t="e" cm="1">
        <f t="array" ref="H15">time_diff(G11,Tabela1[[#This Row],[Tempo Total]])</f>
        <v>#VALUE!</v>
      </c>
      <c r="I15" s="1" t="e">
        <f>VLOOKUP(C15,LARGADA!A:B,2,FALSE)</f>
        <v>#N/A</v>
      </c>
      <c r="J15" s="1" t="e">
        <f>VLOOKUP(C15,CHEGADA!A:B,2,FALSE)</f>
        <v>#N/A</v>
      </c>
    </row>
    <row r="16" spans="1:10">
      <c r="D16" s="2" t="str">
        <f>IFERROR(LEFT(Tabela1[[#This Row],[N°S]],LEN(Tabela1[[#This Row],[N°S]])-1),"")</f>
        <v/>
      </c>
      <c r="E16" s="1" t="str" cm="1">
        <f t="array" ref="E16">IFERROR(time_diff_cor(Tabela1[[#This Row],[Largada]],Tabela1[[#This Row],[Chegada]]),"00:20:00:000")</f>
        <v>00:20:00:000</v>
      </c>
      <c r="F16" s="1" t="str" cm="1">
        <f t="array" ref="F16">time_diff($E$3,Tabela1[[#This Row],[TEMPO]])</f>
        <v>00:00:00:00</v>
      </c>
      <c r="G16" s="1" t="str" cm="1">
        <f t="array" ref="G16">IF(Tabela1[[#This Row],[N°S]]="","NONE",IF(Tabela1[[#This Row],[N°]]=D15,time_sum(G15,Tabela1[[#This Row],[TEMPO]]),Tabela1[[#This Row],[TEMPO]]))</f>
        <v>NONE</v>
      </c>
      <c r="H16" s="1" t="e" cm="1">
        <f t="array" ref="H16">time_diff(G12,Tabela1[[#This Row],[Tempo Total]])</f>
        <v>#VALUE!</v>
      </c>
      <c r="I16" s="1" t="e">
        <f>VLOOKUP(C16,LARGADA!A:B,2,FALSE)</f>
        <v>#N/A</v>
      </c>
      <c r="J16" s="1" t="e">
        <f>VLOOKUP(C16,CHEGADA!A:B,2,FALSE)</f>
        <v>#N/A</v>
      </c>
    </row>
    <row r="17" spans="4:10">
      <c r="D17" s="2" t="str">
        <f>IFERROR(LEFT(Tabela1[[#This Row],[N°S]],LEN(Tabela1[[#This Row],[N°S]])-1),"")</f>
        <v/>
      </c>
      <c r="E17" s="1" t="str" cm="1">
        <f t="array" ref="E17">IFERROR(time_diff_cor(Tabela1[[#This Row],[Largada]],Tabela1[[#This Row],[Chegada]]),"00:20:00:000")</f>
        <v>00:20:00:000</v>
      </c>
      <c r="F17" s="1" t="str" cm="1">
        <f t="array" ref="F17">time_diff($E$3,Tabela1[[#This Row],[TEMPO]])</f>
        <v>00:00:00:00</v>
      </c>
      <c r="G17" s="1" t="str" cm="1">
        <f t="array" ref="G17">IF(Tabela1[[#This Row],[N°S]]="","NONE",IF(Tabela1[[#This Row],[N°]]=D16,time_sum(G16,Tabela1[[#This Row],[TEMPO]]),Tabela1[[#This Row],[TEMPO]]))</f>
        <v>NONE</v>
      </c>
      <c r="H17" s="1" t="e" cm="1">
        <f t="array" ref="H17">time_diff(G13,Tabela1[[#This Row],[Tempo Total]])</f>
        <v>#VALUE!</v>
      </c>
      <c r="I17" s="1" t="e">
        <f>VLOOKUP(C17,LARGADA!A:B,2,FALSE)</f>
        <v>#N/A</v>
      </c>
      <c r="J17" s="1" t="e">
        <f>VLOOKUP(C17,CHEGADA!A:B,2,FALSE)</f>
        <v>#N/A</v>
      </c>
    </row>
    <row r="18" spans="4:10">
      <c r="D18" s="2" t="str">
        <f>IFERROR(LEFT(Tabela1[[#This Row],[N°S]],LEN(Tabela1[[#This Row],[N°S]])-1),"")</f>
        <v/>
      </c>
      <c r="E18" s="1" t="str" cm="1">
        <f t="array" ref="E18">IFERROR(time_diff_cor(Tabela1[[#This Row],[Largada]],Tabela1[[#This Row],[Chegada]]),"00:20:00:000")</f>
        <v>00:20:00:000</v>
      </c>
      <c r="F18" s="1" t="str" cm="1">
        <f t="array" ref="F18">time_diff($E$3,Tabela1[[#This Row],[TEMPO]])</f>
        <v>00:00:00:00</v>
      </c>
      <c r="G18" s="1" t="str" cm="1">
        <f t="array" ref="G18">IF(Tabela1[[#This Row],[N°S]]="","NONE",IF(Tabela1[[#This Row],[N°]]=D17,time_sum(G17,Tabela1[[#This Row],[TEMPO]]),Tabela1[[#This Row],[TEMPO]]))</f>
        <v>NONE</v>
      </c>
      <c r="H18" s="1" t="e" cm="1">
        <f t="array" ref="H18">time_diff(G14,Tabela1[[#This Row],[Tempo Total]])</f>
        <v>#VALUE!</v>
      </c>
      <c r="I18" s="1" t="e">
        <f>VLOOKUP(C18,LARGADA!A:B,2,FALSE)</f>
        <v>#N/A</v>
      </c>
      <c r="J18" s="1" t="e">
        <f>VLOOKUP(C18,CHEGADA!A:B,2,FALSE)</f>
        <v>#N/A</v>
      </c>
    </row>
    <row r="19" spans="4:10">
      <c r="D19" s="2" t="str">
        <f>IFERROR(LEFT(Tabela1[[#This Row],[N°S]],LEN(Tabela1[[#This Row],[N°S]])-1),"")</f>
        <v/>
      </c>
      <c r="E19" s="1" t="str" cm="1">
        <f t="array" ref="E19">IFERROR(time_diff_cor(Tabela1[[#This Row],[Largada]],Tabela1[[#This Row],[Chegada]]),"00:20:00:000")</f>
        <v>00:20:00:000</v>
      </c>
      <c r="F19" s="1" t="str" cm="1">
        <f t="array" ref="F19">time_diff($E$3,Tabela1[[#This Row],[TEMPO]])</f>
        <v>00:00:00:00</v>
      </c>
      <c r="G19" s="1" t="str" cm="1">
        <f t="array" ref="G19">IF(Tabela1[[#This Row],[N°S]]="","NONE",IF(Tabela1[[#This Row],[N°]]=D18,time_sum(G18,Tabela1[[#This Row],[TEMPO]]),Tabela1[[#This Row],[TEMPO]]))</f>
        <v>NONE</v>
      </c>
      <c r="H19" s="1" t="e" cm="1">
        <f t="array" ref="H19">time_diff(#REF!,Tabela1[[#This Row],[Tempo Total]])</f>
        <v>#VALUE!</v>
      </c>
      <c r="I19" s="1" t="e">
        <f>VLOOKUP(C19,LARGADA!A:B,2,FALSE)</f>
        <v>#N/A</v>
      </c>
      <c r="J19" s="1" t="e">
        <f>VLOOKUP(C19,CHEGADA!A:B,2,FALSE)</f>
        <v>#N/A</v>
      </c>
    </row>
    <row r="20" spans="4:10">
      <c r="D20" s="2" t="str">
        <f>IFERROR(LEFT(Tabela1[[#This Row],[N°S]],LEN(Tabela1[[#This Row],[N°S]])-1),"")</f>
        <v/>
      </c>
      <c r="E20" s="1" t="str" cm="1">
        <f t="array" ref="E20">IFERROR(time_diff_cor(Tabela1[[#This Row],[Largada]],Tabela1[[#This Row],[Chegada]]),"00:20:00:000")</f>
        <v>00:20:00:000</v>
      </c>
      <c r="F20" s="1" t="str" cm="1">
        <f t="array" ref="F20">time_diff($E$3,Tabela1[[#This Row],[TEMPO]])</f>
        <v>00:00:00:00</v>
      </c>
      <c r="G20" s="1" t="str" cm="1">
        <f t="array" ref="G20">IF(Tabela1[[#This Row],[N°S]]="","NONE",IF(Tabela1[[#This Row],[N°]]=D19,time_sum(G19,Tabela1[[#This Row],[TEMPO]]),Tabela1[[#This Row],[TEMPO]]))</f>
        <v>NONE</v>
      </c>
      <c r="H20" s="1" t="e" cm="1">
        <f t="array" ref="H20">time_diff(G16,Tabela1[[#This Row],[Tempo Total]])</f>
        <v>#VALUE!</v>
      </c>
      <c r="I20" s="1" t="e">
        <f>VLOOKUP(C20,LARGADA!A:B,2,FALSE)</f>
        <v>#N/A</v>
      </c>
      <c r="J20" s="1" t="e">
        <f>VLOOKUP(C20,CHEGADA!A:B,2,FALSE)</f>
        <v>#N/A</v>
      </c>
    </row>
    <row r="21" spans="4:10">
      <c r="D21" s="2" t="str">
        <f>IFERROR(LEFT(Tabela1[[#This Row],[N°S]],LEN(Tabela1[[#This Row],[N°S]])-1),"")</f>
        <v/>
      </c>
      <c r="E21" s="1" t="str" cm="1">
        <f t="array" ref="E21">IFERROR(time_diff_cor(Tabela1[[#This Row],[Largada]],Tabela1[[#This Row],[Chegada]]),"00:20:00:000")</f>
        <v>00:20:00:000</v>
      </c>
      <c r="F21" s="1" t="str" cm="1">
        <f t="array" ref="F21">time_diff($E$3,Tabela1[[#This Row],[TEMPO]])</f>
        <v>00:00:00:00</v>
      </c>
      <c r="G21" s="1" t="str" cm="1">
        <f t="array" ref="G21">IF(Tabela1[[#This Row],[N°S]]="","NONE",IF(Tabela1[[#This Row],[N°]]=D20,time_sum(G20,Tabela1[[#This Row],[TEMPO]]),Tabela1[[#This Row],[TEMPO]]))</f>
        <v>NONE</v>
      </c>
      <c r="H21" s="1" t="e" cm="1">
        <f t="array" ref="H21">time_diff(G17,Tabela1[[#This Row],[Tempo Total]])</f>
        <v>#VALUE!</v>
      </c>
      <c r="I21" s="1" t="e">
        <f>VLOOKUP(C21,LARGADA!A:B,2,FALSE)</f>
        <v>#N/A</v>
      </c>
      <c r="J21" s="1" t="e">
        <f>VLOOKUP(C21,CHEGADA!A:B,2,FALSE)</f>
        <v>#N/A</v>
      </c>
    </row>
    <row r="22" spans="4:10">
      <c r="D22" s="2" t="str">
        <f>IFERROR(LEFT(Tabela1[[#This Row],[N°S]],LEN(Tabela1[[#This Row],[N°S]])-1),"")</f>
        <v/>
      </c>
      <c r="E22" s="1" t="str" cm="1">
        <f t="array" ref="E22">IFERROR(time_diff_cor(Tabela1[[#This Row],[Largada]],Tabela1[[#This Row],[Chegada]]),"00:20:00:000")</f>
        <v>00:20:00:000</v>
      </c>
      <c r="F22" s="1" t="str" cm="1">
        <f t="array" ref="F22">time_diff($E$3,Tabela1[[#This Row],[TEMPO]])</f>
        <v>00:00:00:00</v>
      </c>
      <c r="G22" s="1" t="str" cm="1">
        <f t="array" ref="G22">IF(Tabela1[[#This Row],[N°S]]="","NONE",IF(Tabela1[[#This Row],[N°]]=D21,time_sum(G21,Tabela1[[#This Row],[TEMPO]]),Tabela1[[#This Row],[TEMPO]]))</f>
        <v>NONE</v>
      </c>
      <c r="H22" s="1" t="e" cm="1">
        <f t="array" ref="H22">time_diff(#REF!,Tabela1[[#This Row],[Tempo Total]])</f>
        <v>#VALUE!</v>
      </c>
      <c r="I22" s="1" t="e">
        <f>VLOOKUP(C22,LARGADA!A:B,2,FALSE)</f>
        <v>#N/A</v>
      </c>
      <c r="J22" s="1" t="e">
        <f>VLOOKUP(C22,CHEGADA!A:B,2,FALSE)</f>
        <v>#N/A</v>
      </c>
    </row>
    <row r="23" spans="4:10">
      <c r="D23" s="2" t="str">
        <f>IFERROR(LEFT(Tabela1[[#This Row],[N°S]],LEN(Tabela1[[#This Row],[N°S]])-1),"")</f>
        <v/>
      </c>
      <c r="E23" s="1" t="str" cm="1">
        <f t="array" ref="E23">IFERROR(time_diff_cor(Tabela1[[#This Row],[Largada]],Tabela1[[#This Row],[Chegada]]),"00:20:00:000")</f>
        <v>00:20:00:000</v>
      </c>
      <c r="G23" s="1" t="str" cm="1">
        <f t="array" ref="G23">IF(Tabela1[[#This Row],[N°S]]="","NONE",IF(Tabela1[[#This Row],[N°]]=D22,time_sum(G22,Tabela1[[#This Row],[TEMPO]]),Tabela1[[#This Row],[TEMPO]]))</f>
        <v>NONE</v>
      </c>
      <c r="H23" s="1" t="e" cm="1">
        <f t="array" ref="H23">time_diff(#REF!,Tabela1[[#This Row],[Tempo Total]])</f>
        <v>#VALUE!</v>
      </c>
      <c r="I23" s="1" t="e">
        <f>VLOOKUP(C23,LARGADA!A:B,2,FALSE)</f>
        <v>#N/A</v>
      </c>
      <c r="J23" s="1" t="e">
        <f>VLOOKUP(C23,CHEGADA!A:B,2,FALSE)</f>
        <v>#N/A</v>
      </c>
    </row>
    <row r="24" spans="4:10">
      <c r="D24" s="2" t="str">
        <f>IFERROR(LEFT(Tabela1[[#This Row],[N°S]],LEN(Tabela1[[#This Row],[N°S]])-1),"")</f>
        <v/>
      </c>
      <c r="E24" s="1" t="str" cm="1">
        <f t="array" ref="E24">IFERROR(time_diff_cor(Tabela1[[#This Row],[Largada]],Tabela1[[#This Row],[Chegada]]),"00:20:00:000")</f>
        <v>00:20:00:000</v>
      </c>
      <c r="F24" s="1" t="str" cm="1">
        <f t="array" ref="F24">time_diff($E$3,Tabela1[[#This Row],[TEMPO]])</f>
        <v>00:00:00:00</v>
      </c>
      <c r="G24" s="1" t="str" cm="1">
        <f t="array" ref="G24">IF(Tabela1[[#This Row],[N°S]]="","NONE",IF(Tabela1[[#This Row],[N°]]=D23,time_sum(G23,Tabela1[[#This Row],[TEMPO]]),Tabela1[[#This Row],[TEMPO]]))</f>
        <v>NONE</v>
      </c>
      <c r="H24" s="1" t="e" cm="1">
        <f t="array" ref="H24">time_diff(G20,Tabela1[[#This Row],[Tempo Total]])</f>
        <v>#VALUE!</v>
      </c>
      <c r="I24" s="1" t="e">
        <f>VLOOKUP(C24,LARGADA!A:B,2,FALSE)</f>
        <v>#N/A</v>
      </c>
      <c r="J24" s="1" t="e">
        <f>VLOOKUP(C24,CHEGADA!A:B,2,FALSE)</f>
        <v>#N/A</v>
      </c>
    </row>
    <row r="25" spans="4:10">
      <c r="D25" s="2" t="str">
        <f>IFERROR(LEFT(Tabela1[[#This Row],[N°S]],LEN(Tabela1[[#This Row],[N°S]])-1),"")</f>
        <v/>
      </c>
      <c r="E25" s="1" t="str" cm="1">
        <f t="array" ref="E25">IFERROR(time_diff_cor(Tabela1[[#This Row],[Largada]],Tabela1[[#This Row],[Chegada]]),"00:20:00:000")</f>
        <v>00:20:00:000</v>
      </c>
      <c r="F25" s="1" t="str" cm="1">
        <f t="array" ref="F25">time_diff($E$3,Tabela1[[#This Row],[TEMPO]])</f>
        <v>00:00:00:00</v>
      </c>
      <c r="G25" s="1" t="str" cm="1">
        <f t="array" ref="G25">IF(Tabela1[[#This Row],[N°S]]="","NONE",IF(Tabela1[[#This Row],[N°]]=D24,time_sum(G24,Tabela1[[#This Row],[TEMPO]]),Tabela1[[#This Row],[TEMPO]]))</f>
        <v>NONE</v>
      </c>
      <c r="H25" s="1" t="e" cm="1">
        <f t="array" ref="H25">time_diff(#REF!,Tabela1[[#This Row],[Tempo Total]])</f>
        <v>#VALUE!</v>
      </c>
      <c r="I25" s="1" t="e">
        <f>VLOOKUP(C25,LARGADA!A:B,2,FALSE)</f>
        <v>#N/A</v>
      </c>
      <c r="J25" s="1" t="e">
        <f>VLOOKUP(C25,CHEGADA!A:B,2,FALSE)</f>
        <v>#N/A</v>
      </c>
    </row>
    <row r="26" spans="4:10">
      <c r="D26" s="2" t="str">
        <f>IFERROR(LEFT(Tabela1[[#This Row],[N°S]],LEN(Tabela1[[#This Row],[N°S]])-1),"")</f>
        <v/>
      </c>
      <c r="E26" s="1" t="str" cm="1">
        <f t="array" ref="E26">IFERROR(time_diff_cor(Tabela1[[#This Row],[Largada]],Tabela1[[#This Row],[Chegada]]),"00:20:00:000")</f>
        <v>00:20:00:000</v>
      </c>
      <c r="F26" s="1" t="str" cm="1">
        <f t="array" ref="F26">time_diff($E$3,Tabela1[[#This Row],[TEMPO]])</f>
        <v>00:00:00:00</v>
      </c>
      <c r="G26" s="1" t="str" cm="1">
        <f t="array" ref="G26">IF(Tabela1[[#This Row],[N°S]]="","NONE",IF(Tabela1[[#This Row],[N°]]=D25,time_sum(G25,Tabela1[[#This Row],[TEMPO]]),Tabela1[[#This Row],[TEMPO]]))</f>
        <v>NONE</v>
      </c>
      <c r="H26" s="1" t="e" cm="1">
        <f t="array" ref="H26">time_diff(G22,Tabela1[[#This Row],[Tempo Total]])</f>
        <v>#VALUE!</v>
      </c>
      <c r="I26" s="1" t="e">
        <f>VLOOKUP(C26,LARGADA!A:B,2,FALSE)</f>
        <v>#N/A</v>
      </c>
      <c r="J26" s="1" t="e">
        <f>VLOOKUP(C26,CHEGADA!A:B,2,FALSE)</f>
        <v>#N/A</v>
      </c>
    </row>
    <row r="27" spans="4:10">
      <c r="D27" s="2" t="str">
        <f>IFERROR(LEFT(Tabela1[[#This Row],[N°S]],LEN(Tabela1[[#This Row],[N°S]])-1),"")</f>
        <v/>
      </c>
      <c r="E27" s="1" t="str" cm="1">
        <f t="array" ref="E27">IFERROR(time_diff_cor(Tabela1[[#This Row],[Largada]],Tabela1[[#This Row],[Chegada]]),"00:20:00:000")</f>
        <v>00:20:00:000</v>
      </c>
      <c r="G27" s="1" t="str" cm="1">
        <f t="array" ref="G27">IF(Tabela1[[#This Row],[N°S]]="","NONE",IF(Tabela1[[#This Row],[N°]]=D26,time_sum(G26,Tabela1[[#This Row],[TEMPO]]),Tabela1[[#This Row],[TEMPO]]))</f>
        <v>NONE</v>
      </c>
      <c r="H27" s="1" t="e" cm="1">
        <f t="array" ref="H27">time_diff(G23,Tabela1[[#This Row],[Tempo Total]])</f>
        <v>#VALUE!</v>
      </c>
      <c r="I27" s="1" t="e">
        <f>VLOOKUP(C27,LARGADA!A:B,2,FALSE)</f>
        <v>#N/A</v>
      </c>
      <c r="J27" s="1" t="e">
        <f>VLOOKUP(C27,CHEGADA!A:B,2,FALSE)</f>
        <v>#N/A</v>
      </c>
    </row>
    <row r="28" spans="4:10">
      <c r="D28" s="2" t="str">
        <f>IFERROR(LEFT(Tabela1[[#This Row],[N°S]],LEN(Tabela1[[#This Row],[N°S]])-1),"")</f>
        <v/>
      </c>
      <c r="E28" s="1" t="str" cm="1">
        <f t="array" ref="E28">IFERROR(time_diff_cor(Tabela1[[#This Row],[Largada]],Tabela1[[#This Row],[Chegada]]),"00:20:00:000")</f>
        <v>00:20:00:000</v>
      </c>
      <c r="F28" s="1" t="str" cm="1">
        <f t="array" ref="F28">time_diff($E$3,Tabela1[[#This Row],[TEMPO]])</f>
        <v>00:00:00:00</v>
      </c>
      <c r="G28" s="1" t="str" cm="1">
        <f t="array" ref="G28">IF(Tabela1[[#This Row],[N°S]]="","NONE",IF(Tabela1[[#This Row],[N°]]=D27,time_sum(G27,Tabela1[[#This Row],[TEMPO]]),Tabela1[[#This Row],[TEMPO]]))</f>
        <v>NONE</v>
      </c>
      <c r="H28" s="1" t="e" cm="1">
        <f t="array" ref="H28">time_diff(G24,Tabela1[[#This Row],[Tempo Total]])</f>
        <v>#VALUE!</v>
      </c>
      <c r="I28" s="1" t="e">
        <f>VLOOKUP(C28,LARGADA!A:B,2,FALSE)</f>
        <v>#N/A</v>
      </c>
      <c r="J28" s="1" t="e">
        <f>VLOOKUP(C28,CHEGADA!A:B,2,FALSE)</f>
        <v>#N/A</v>
      </c>
    </row>
    <row r="29" spans="4:10">
      <c r="D29" s="2" t="str">
        <f>IFERROR(LEFT(Tabela1[[#This Row],[N°S]],LEN(Tabela1[[#This Row],[N°S]])-1),"")</f>
        <v/>
      </c>
      <c r="E29" s="1" t="str" cm="1">
        <f t="array" ref="E29">IFERROR(time_diff_cor(Tabela1[[#This Row],[Largada]],Tabela1[[#This Row],[Chegada]]),"00:20:00:000")</f>
        <v>00:20:00:000</v>
      </c>
      <c r="F29" s="1" t="str" cm="1">
        <f t="array" ref="F29">time_diff($E$3,Tabela1[[#This Row],[TEMPO]])</f>
        <v>00:00:00:00</v>
      </c>
      <c r="G29" s="1" t="str" cm="1">
        <f t="array" ref="G29">IF(Tabela1[[#This Row],[N°S]]="","NONE",IF(Tabela1[[#This Row],[N°]]=D28,time_sum(G28,Tabela1[[#This Row],[TEMPO]]),Tabela1[[#This Row],[TEMPO]]))</f>
        <v>NONE</v>
      </c>
      <c r="H29" s="1" t="e" cm="1">
        <f t="array" ref="H29">time_diff(G25,Tabela1[[#This Row],[Tempo Total]])</f>
        <v>#VALUE!</v>
      </c>
      <c r="I29" s="1" t="e">
        <f>VLOOKUP(C29,LARGADA!A:B,2,FALSE)</f>
        <v>#N/A</v>
      </c>
      <c r="J29" s="1" t="e">
        <f>VLOOKUP(C29,CHEGADA!A:B,2,FALSE)</f>
        <v>#N/A</v>
      </c>
    </row>
    <row r="30" spans="4:10">
      <c r="D30" s="2" t="str">
        <f>IFERROR(LEFT(Tabela1[[#This Row],[N°S]],LEN(Tabela1[[#This Row],[N°S]])-1),"")</f>
        <v/>
      </c>
      <c r="E30" s="1" t="str" cm="1">
        <f t="array" ref="E30">IFERROR(time_diff_cor(Tabela1[[#This Row],[Largada]],Tabela1[[#This Row],[Chegada]]),"00:20:00:000")</f>
        <v>00:20:00:000</v>
      </c>
      <c r="F30" s="1" t="str" cm="1">
        <f t="array" ref="F30">time_diff($E$3,Tabela1[[#This Row],[TEMPO]])</f>
        <v>00:00:00:00</v>
      </c>
      <c r="G30" s="1" t="str" cm="1">
        <f t="array" ref="G30">IF(Tabela1[[#This Row],[N°S]]="","NONE",IF(Tabela1[[#This Row],[N°]]=D29,time_sum(G29,Tabela1[[#This Row],[TEMPO]]),Tabela1[[#This Row],[TEMPO]]))</f>
        <v>NONE</v>
      </c>
      <c r="H30" s="1" t="e" cm="1">
        <f t="array" ref="H30">time_diff(G26,Tabela1[[#This Row],[Tempo Total]])</f>
        <v>#VALUE!</v>
      </c>
      <c r="I30" s="1" t="e">
        <f>VLOOKUP(C30,LARGADA!A:B,2,FALSE)</f>
        <v>#N/A</v>
      </c>
      <c r="J30" s="1" t="e">
        <f>VLOOKUP(C30,CHEGADA!A:B,2,FALSE)</f>
        <v>#N/A</v>
      </c>
    </row>
    <row r="31" spans="4:10">
      <c r="D31" s="2" t="str">
        <f>IFERROR(LEFT(Tabela1[[#This Row],[N°S]],LEN(Tabela1[[#This Row],[N°S]])-1),"")</f>
        <v/>
      </c>
      <c r="E31" s="1" t="str" cm="1">
        <f t="array" ref="E31">IFERROR(time_diff_cor(Tabela1[[#This Row],[Largada]],Tabela1[[#This Row],[Chegada]]),"00:20:00:000")</f>
        <v>00:20:00:000</v>
      </c>
      <c r="F31" s="1" t="str" cm="1">
        <f t="array" ref="F31">time_diff($E$3,Tabela1[[#This Row],[TEMPO]])</f>
        <v>00:00:00:00</v>
      </c>
      <c r="G31" s="1" t="str" cm="1">
        <f t="array" ref="G31">IF(Tabela1[[#This Row],[N°S]]="","NONE",IF(Tabela1[[#This Row],[N°]]=D30,time_sum(G30,Tabela1[[#This Row],[TEMPO]]),Tabela1[[#This Row],[TEMPO]]))</f>
        <v>NONE</v>
      </c>
      <c r="H31" s="1" t="e" cm="1">
        <f t="array" ref="H31">time_diff(G27,Tabela1[[#This Row],[Tempo Total]])</f>
        <v>#VALUE!</v>
      </c>
      <c r="I31" s="1" t="e">
        <f>VLOOKUP(C31,LARGADA!A:B,2,FALSE)</f>
        <v>#N/A</v>
      </c>
      <c r="J31" s="1" t="e">
        <f>VLOOKUP(C31,CHEGADA!A:B,2,FALSE)</f>
        <v>#N/A</v>
      </c>
    </row>
    <row r="32" spans="4:10">
      <c r="D32" s="2" t="str">
        <f>IFERROR(LEFT(Tabela1[[#This Row],[N°S]],LEN(Tabela1[[#This Row],[N°S]])-1),"")</f>
        <v/>
      </c>
      <c r="E32" s="1" t="str" cm="1">
        <f t="array" ref="E32">IFERROR(time_diff_cor(Tabela1[[#This Row],[Largada]],Tabela1[[#This Row],[Chegada]]),"00:20:00:000")</f>
        <v>00:20:00:000</v>
      </c>
      <c r="G32" s="1" t="str" cm="1">
        <f t="array" ref="G32">IF(Tabela1[[#This Row],[N°S]]="","NONE",IF(Tabela1[[#This Row],[N°]]=D31,time_sum(G31,Tabela1[[#This Row],[TEMPO]]),Tabela1[[#This Row],[TEMPO]]))</f>
        <v>NONE</v>
      </c>
      <c r="H32" s="1" t="e" cm="1">
        <f t="array" ref="H32">time_diff(G28,Tabela1[[#This Row],[Tempo Total]])</f>
        <v>#VALUE!</v>
      </c>
      <c r="I32" s="1" t="e">
        <f>VLOOKUP(C32,LARGADA!A:B,2,FALSE)</f>
        <v>#N/A</v>
      </c>
      <c r="J32" s="1" t="e">
        <f>VLOOKUP(C32,CHEGADA!A:B,2,FALSE)</f>
        <v>#N/A</v>
      </c>
    </row>
    <row r="33" spans="4:10">
      <c r="D33" s="2" t="str">
        <f>IFERROR(LEFT(Tabela1[[#This Row],[N°S]],LEN(Tabela1[[#This Row],[N°S]])-1),"")</f>
        <v/>
      </c>
      <c r="E33" s="1" t="str" cm="1">
        <f t="array" ref="E33">IFERROR(time_diff_cor(Tabela1[[#This Row],[Largada]],Tabela1[[#This Row],[Chegada]]),"00:20:00:000")</f>
        <v>00:20:00:000</v>
      </c>
      <c r="G33" s="1" t="str" cm="1">
        <f t="array" ref="G33">IF(Tabela1[[#This Row],[N°S]]="","NONE",IF(Tabela1[[#This Row],[N°]]=D32,time_sum(G32,Tabela1[[#This Row],[TEMPO]]),Tabela1[[#This Row],[TEMPO]]))</f>
        <v>NONE</v>
      </c>
      <c r="H33" s="1" t="e" cm="1">
        <f t="array" ref="H33">time_diff(G29,Tabela1[[#This Row],[Tempo Total]])</f>
        <v>#VALUE!</v>
      </c>
      <c r="I33" s="1" t="e">
        <f>VLOOKUP(C33,LARGADA!A:B,2,FALSE)</f>
        <v>#N/A</v>
      </c>
      <c r="J33" s="1" t="e">
        <f>VLOOKUP(C33,CHEGADA!A:B,2,FALSE)</f>
        <v>#N/A</v>
      </c>
    </row>
    <row r="34" spans="4:10">
      <c r="D34" s="2" t="str">
        <f>IFERROR(LEFT(Tabela1[[#This Row],[N°S]],LEN(Tabela1[[#This Row],[N°S]])-1),"")</f>
        <v/>
      </c>
      <c r="E34" s="1" t="str" cm="1">
        <f t="array" ref="E34">IFERROR(time_diff_cor(Tabela1[[#This Row],[Largada]],Tabela1[[#This Row],[Chegada]]),"00:20:00:000")</f>
        <v>00:20:00:000</v>
      </c>
      <c r="G34" s="1" t="str" cm="1">
        <f t="array" ref="G34">IF(Tabela1[[#This Row],[N°S]]="","NONE",IF(Tabela1[[#This Row],[N°]]=D33,time_sum(G33,Tabela1[[#This Row],[TEMPO]]),Tabela1[[#This Row],[TEMPO]]))</f>
        <v>NONE</v>
      </c>
      <c r="H34" s="1" t="e" cm="1">
        <f t="array" ref="H34">time_diff(G30,Tabela1[[#This Row],[Tempo Total]])</f>
        <v>#VALUE!</v>
      </c>
      <c r="I34" s="1" t="e">
        <f>VLOOKUP(C34,LARGADA!A:B,2,FALSE)</f>
        <v>#N/A</v>
      </c>
      <c r="J34" s="1" t="e">
        <f>VLOOKUP(C34,CHEGADA!A:B,2,FALSE)</f>
        <v>#N/A</v>
      </c>
    </row>
    <row r="35" spans="4:10">
      <c r="D35" s="2" t="str">
        <f>IFERROR(LEFT(Tabela1[[#This Row],[N°S]],LEN(Tabela1[[#This Row],[N°S]])-1),"")</f>
        <v/>
      </c>
      <c r="E35" s="1" t="str" cm="1">
        <f t="array" ref="E35">IFERROR(time_diff_cor(Tabela1[[#This Row],[Largada]],Tabela1[[#This Row],[Chegada]]),"00:20:00:000")</f>
        <v>00:20:00:000</v>
      </c>
      <c r="F35" s="1" t="str" cm="1">
        <f t="array" ref="F35">time_diff($E$3,Tabela1[[#This Row],[TEMPO]])</f>
        <v>00:00:00:00</v>
      </c>
      <c r="G35" s="1" t="str" cm="1">
        <f t="array" ref="G35">IF(Tabela1[[#This Row],[N°S]]="","NONE",IF(Tabela1[[#This Row],[N°]]=D34,time_sum(G34,Tabela1[[#This Row],[TEMPO]]),Tabela1[[#This Row],[TEMPO]]))</f>
        <v>NONE</v>
      </c>
      <c r="H35" s="1" t="e" cm="1">
        <f t="array" ref="H35">time_diff(G31,Tabela1[[#This Row],[Tempo Total]])</f>
        <v>#VALUE!</v>
      </c>
      <c r="I35" s="1" t="e">
        <f>VLOOKUP(C35,LARGADA!A:B,2,FALSE)</f>
        <v>#N/A</v>
      </c>
      <c r="J35" s="1" t="e">
        <f>VLOOKUP(C35,CHEGADA!A:B,2,FALSE)</f>
        <v>#N/A</v>
      </c>
    </row>
    <row r="36" spans="4:10">
      <c r="D36" s="2" t="str">
        <f>IFERROR(LEFT(Tabela1[[#This Row],[N°S]],LEN(Tabela1[[#This Row],[N°S]])-1),"")</f>
        <v/>
      </c>
      <c r="E36" s="1" t="str" cm="1">
        <f t="array" ref="E36">IFERROR(time_diff_cor(Tabela1[[#This Row],[Largada]],Tabela1[[#This Row],[Chegada]]),"00:20:00:000")</f>
        <v>00:20:00:000</v>
      </c>
      <c r="G36" s="1" t="str" cm="1">
        <f t="array" ref="G36">IF(Tabela1[[#This Row],[N°S]]="","NONE",IF(Tabela1[[#This Row],[N°]]=D35,time_sum(G35,Tabela1[[#This Row],[TEMPO]]),Tabela1[[#This Row],[TEMPO]]))</f>
        <v>NONE</v>
      </c>
      <c r="H36" s="1" t="e" cm="1">
        <f t="array" ref="H36">time_diff(G32,Tabela1[[#This Row],[Tempo Total]])</f>
        <v>#VALUE!</v>
      </c>
      <c r="I36" s="1" t="e">
        <f>VLOOKUP(C36,LARGADA!A:B,2,FALSE)</f>
        <v>#N/A</v>
      </c>
      <c r="J36" s="1" t="e">
        <f>VLOOKUP(C36,CHEGADA!A:B,2,FALSE)</f>
        <v>#N/A</v>
      </c>
    </row>
    <row r="37" spans="4:10">
      <c r="D37" s="2" t="str">
        <f>IFERROR(LEFT(Tabela1[[#This Row],[N°S]],LEN(Tabela1[[#This Row],[N°S]])-1),"")</f>
        <v/>
      </c>
      <c r="E37" s="1" t="str" cm="1">
        <f t="array" ref="E37">IFERROR(time_diff_cor(Tabela1[[#This Row],[Largada]],Tabela1[[#This Row],[Chegada]]),"00:20:00:000")</f>
        <v>00:20:00:000</v>
      </c>
      <c r="G37" s="1" t="str" cm="1">
        <f t="array" ref="G37">IF(Tabela1[[#This Row],[N°S]]="","NONE",IF(Tabela1[[#This Row],[N°]]=D36,time_sum(G36,Tabela1[[#This Row],[TEMPO]]),Tabela1[[#This Row],[TEMPO]]))</f>
        <v>NONE</v>
      </c>
      <c r="I37" s="1" t="e">
        <f>VLOOKUP(C37,LARGADA!A:B,2,FALSE)</f>
        <v>#N/A</v>
      </c>
      <c r="J37" s="1" t="e">
        <f>VLOOKUP(C37,CHEGADA!A:B,2,FALSE)</f>
        <v>#N/A</v>
      </c>
    </row>
    <row r="38" spans="4:10">
      <c r="D38" s="2" t="str">
        <f>IFERROR(LEFT(Tabela1[[#This Row],[N°S]],LEN(Tabela1[[#This Row],[N°S]])-1),"")</f>
        <v/>
      </c>
      <c r="E38" s="1" t="str" cm="1">
        <f t="array" ref="E38">IFERROR(time_diff_cor(Tabela1[[#This Row],[Largada]],Tabela1[[#This Row],[Chegada]]),"00:20:00:000")</f>
        <v>00:20:00:000</v>
      </c>
      <c r="G38" s="1" t="str" cm="1">
        <f t="array" ref="G38">IF(Tabela1[[#This Row],[N°S]]="","NONE",IF(Tabela1[[#This Row],[N°]]=D37,time_sum(G37,Tabela1[[#This Row],[TEMPO]]),Tabela1[[#This Row],[TEMPO]]))</f>
        <v>NONE</v>
      </c>
      <c r="H38" s="1" t="e" cm="1">
        <f t="array" ref="H38">time_diff(G34,Tabela1[[#This Row],[Tempo Total]])</f>
        <v>#VALUE!</v>
      </c>
      <c r="I38" s="1" t="e">
        <f>VLOOKUP(C38,LARGADA!A:B,2,FALSE)</f>
        <v>#N/A</v>
      </c>
      <c r="J38" s="1" t="e">
        <f>VLOOKUP(C38,CHEGADA!A:B,2,FALSE)</f>
        <v>#N/A</v>
      </c>
    </row>
    <row r="39" spans="4:10">
      <c r="D39" s="2" t="str">
        <f>IFERROR(LEFT(Tabela1[[#This Row],[N°S]],LEN(Tabela1[[#This Row],[N°S]])-1),"")</f>
        <v/>
      </c>
      <c r="E39" s="1" t="str" cm="1">
        <f t="array" ref="E39">IFERROR(time_diff_cor(Tabela1[[#This Row],[Largada]],Tabela1[[#This Row],[Chegada]]),"00:20:00:000")</f>
        <v>00:20:00:000</v>
      </c>
      <c r="F39" s="1" t="str" cm="1">
        <f t="array" ref="F39">time_diff($E$3,Tabela1[[#This Row],[TEMPO]])</f>
        <v>00:00:00:00</v>
      </c>
      <c r="G39" s="1" t="str" cm="1">
        <f t="array" ref="G39">IF(Tabela1[[#This Row],[N°S]]="","NONE",IF(Tabela1[[#This Row],[N°]]=D38,time_sum(G38,Tabela1[[#This Row],[TEMPO]]),Tabela1[[#This Row],[TEMPO]]))</f>
        <v>NONE</v>
      </c>
      <c r="H39" s="1" t="e" cm="1">
        <f t="array" ref="H39">time_diff(G35,Tabela1[[#This Row],[Tempo Total]])</f>
        <v>#VALUE!</v>
      </c>
      <c r="I39" s="1" t="e">
        <f>VLOOKUP(C39,LARGADA!A:B,2,FALSE)</f>
        <v>#N/A</v>
      </c>
      <c r="J39" s="1" t="e">
        <f>VLOOKUP(C39,CHEGADA!A:B,2,FALSE)</f>
        <v>#N/A</v>
      </c>
    </row>
    <row r="40" spans="4:10">
      <c r="D40" s="2" t="str">
        <f>IFERROR(LEFT(Tabela1[[#This Row],[N°S]],LEN(Tabela1[[#This Row],[N°S]])-1),"")</f>
        <v/>
      </c>
      <c r="E40" s="1" t="str" cm="1">
        <f t="array" ref="E40">IFERROR(time_diff_cor(Tabela1[[#This Row],[Largada]],Tabela1[[#This Row],[Chegada]]),"00:20:00:000")</f>
        <v>00:20:00:000</v>
      </c>
      <c r="G40" s="1" t="str" cm="1">
        <f t="array" ref="G40">IF(Tabela1[[#This Row],[N°S]]="","NONE",IF(Tabela1[[#This Row],[N°]]=D39,time_sum(G39,Tabela1[[#This Row],[TEMPO]]),Tabela1[[#This Row],[TEMPO]]))</f>
        <v>NONE</v>
      </c>
      <c r="H40" s="1" t="e" cm="1">
        <f t="array" ref="H40">time_diff(G36,Tabela1[[#This Row],[Tempo Total]])</f>
        <v>#VALUE!</v>
      </c>
      <c r="I40" s="1" t="e">
        <f>VLOOKUP(C40,LARGADA!A:B,2,FALSE)</f>
        <v>#N/A</v>
      </c>
      <c r="J40" s="1" t="e">
        <f>VLOOKUP(C40,CHEGADA!A:B,2,FALSE)</f>
        <v>#N/A</v>
      </c>
    </row>
    <row r="41" spans="4:10">
      <c r="D41" s="2" t="str">
        <f>IFERROR(LEFT(Tabela1[[#This Row],[N°S]],LEN(Tabela1[[#This Row],[N°S]])-1),"")</f>
        <v/>
      </c>
      <c r="E41" s="1" t="str" cm="1">
        <f t="array" ref="E41">IFERROR(time_diff_cor(Tabela1[[#This Row],[Largada]],Tabela1[[#This Row],[Chegada]]),"00:20:00:000")</f>
        <v>00:20:00:000</v>
      </c>
      <c r="G41" s="1" t="str" cm="1">
        <f t="array" ref="G41">IF(Tabela1[[#This Row],[N°S]]="","NONE",IF(Tabela1[[#This Row],[N°]]=D40,time_sum(G40,Tabela1[[#This Row],[TEMPO]]),Tabela1[[#This Row],[TEMPO]]))</f>
        <v>NONE</v>
      </c>
      <c r="H41" s="1" t="e" cm="1">
        <f t="array" ref="H41">time_diff(G37,Tabela1[[#This Row],[Tempo Total]])</f>
        <v>#VALUE!</v>
      </c>
      <c r="I41" s="1" t="e">
        <f>VLOOKUP(C41,LARGADA!A:B,2,FALSE)</f>
        <v>#N/A</v>
      </c>
      <c r="J41" s="1" t="e">
        <f>VLOOKUP(C41,CHEGADA!A:B,2,FALSE)</f>
        <v>#N/A</v>
      </c>
    </row>
    <row r="42" spans="4:10">
      <c r="D42" s="2" t="str">
        <f>IFERROR(LEFT(Tabela1[[#This Row],[N°S]],LEN(Tabela1[[#This Row],[N°S]])-1),"")</f>
        <v/>
      </c>
      <c r="E42" s="1" t="str" cm="1">
        <f t="array" ref="E42">IFERROR(time_diff_cor(Tabela1[[#This Row],[Largada]],Tabela1[[#This Row],[Chegada]]),"00:20:00:000")</f>
        <v>00:20:00:000</v>
      </c>
      <c r="G42" s="1" t="str" cm="1">
        <f t="array" ref="G42">IF(Tabela1[[#This Row],[N°S]]="","NONE",IF(Tabela1[[#This Row],[N°]]=D41,time_sum(G41,Tabela1[[#This Row],[TEMPO]]),Tabela1[[#This Row],[TEMPO]]))</f>
        <v>NONE</v>
      </c>
      <c r="I42" s="1" t="e">
        <f>VLOOKUP(C42,LARGADA!A:B,2,FALSE)</f>
        <v>#N/A</v>
      </c>
      <c r="J42" s="1" t="e">
        <f>VLOOKUP(C42,CHEGADA!A:B,2,FALSE)</f>
        <v>#N/A</v>
      </c>
    </row>
    <row r="43" spans="4:10">
      <c r="D43" s="2" t="str">
        <f>IFERROR(LEFT(Tabela1[[#This Row],[N°S]],LEN(Tabela1[[#This Row],[N°S]])-1),"")</f>
        <v/>
      </c>
      <c r="E43" s="1" t="str" cm="1">
        <f t="array" ref="E43">IFERROR(time_diff_cor(Tabela1[[#This Row],[Largada]],Tabela1[[#This Row],[Chegada]]),"00:20:00:000")</f>
        <v>00:20:00:000</v>
      </c>
      <c r="G43" s="1" t="str" cm="1">
        <f t="array" ref="G43">IF(Tabela1[[#This Row],[N°S]]="","NONE",IF(Tabela1[[#This Row],[N°]]=D42,time_sum(G42,Tabela1[[#This Row],[TEMPO]]),Tabela1[[#This Row],[TEMPO]]))</f>
        <v>NONE</v>
      </c>
      <c r="I43" s="1" t="e">
        <f>VLOOKUP(C43,LARGADA!A:B,2,FALSE)</f>
        <v>#N/A</v>
      </c>
      <c r="J43" s="1" t="e">
        <f>VLOOKUP(C43,CHEGADA!A:B,2,FALSE)</f>
        <v>#N/A</v>
      </c>
    </row>
    <row r="44" spans="4:10">
      <c r="D44" s="2" t="str">
        <f>IFERROR(LEFT(Tabela1[[#This Row],[N°S]],LEN(Tabela1[[#This Row],[N°S]])-1),"")</f>
        <v/>
      </c>
      <c r="E44" s="1" t="str" cm="1">
        <f t="array" ref="E44">IFERROR(time_diff_cor(Tabela1[[#This Row],[Largada]],Tabela1[[#This Row],[Chegada]]),"00:20:00:000")</f>
        <v>00:20:00:000</v>
      </c>
      <c r="G44" s="1" t="str" cm="1">
        <f t="array" ref="G44">IF(Tabela1[[#This Row],[N°S]]="","NONE",IF(Tabela1[[#This Row],[N°]]=D43,time_sum(G43,Tabela1[[#This Row],[TEMPO]]),Tabela1[[#This Row],[TEMPO]]))</f>
        <v>NONE</v>
      </c>
      <c r="I44" s="1" t="e">
        <f>VLOOKUP(C44,LARGADA!A:B,2,FALSE)</f>
        <v>#N/A</v>
      </c>
      <c r="J44" s="1" t="e">
        <f>VLOOKUP(C44,CHEGADA!A:B,2,FALSE)</f>
        <v>#N/A</v>
      </c>
    </row>
    <row r="45" spans="4:10">
      <c r="D45" s="2" t="str">
        <f>IFERROR(LEFT(Tabela1[[#This Row],[N°S]],LEN(Tabela1[[#This Row],[N°S]])-1),"")</f>
        <v/>
      </c>
      <c r="E45" s="1" t="str" cm="1">
        <f t="array" ref="E45">IFERROR(time_diff_cor(Tabela1[[#This Row],[Largada]],Tabela1[[#This Row],[Chegada]]),"00:20:00:000")</f>
        <v>00:20:00:000</v>
      </c>
      <c r="G45" s="1" t="str" cm="1">
        <f t="array" ref="G45">IF(Tabela1[[#This Row],[N°S]]="","NONE",IF(Tabela1[[#This Row],[N°]]=D44,time_sum(G44,Tabela1[[#This Row],[TEMPO]]),Tabela1[[#This Row],[TEMPO]]))</f>
        <v>NONE</v>
      </c>
      <c r="I45" s="1" t="e">
        <f>VLOOKUP(C45,LARGADA!A:B,2,FALSE)</f>
        <v>#N/A</v>
      </c>
      <c r="J45" s="1" t="e">
        <f>VLOOKUP(C45,CHEGADA!A:B,2,FALSE)</f>
        <v>#N/A</v>
      </c>
    </row>
    <row r="46" spans="4:10">
      <c r="D46" s="2" t="str">
        <f>IFERROR(LEFT(Tabela1[[#This Row],[N°S]],LEN(Tabela1[[#This Row],[N°S]])-1),"")</f>
        <v/>
      </c>
      <c r="E46" s="1" t="str" cm="1">
        <f t="array" ref="E46">IFERROR(time_diff_cor(Tabela1[[#This Row],[Largada]],Tabela1[[#This Row],[Chegada]]),"00:20:00:000")</f>
        <v>00:20:00:000</v>
      </c>
      <c r="G46" s="1" t="str" cm="1">
        <f t="array" ref="G46">IF(Tabela1[[#This Row],[N°S]]="","NONE",IF(Tabela1[[#This Row],[N°]]=D45,time_sum(G45,Tabela1[[#This Row],[TEMPO]]),Tabela1[[#This Row],[TEMPO]]))</f>
        <v>NONE</v>
      </c>
      <c r="I46" s="1" t="e">
        <f>VLOOKUP(C46,LARGADA!A:B,2,FALSE)</f>
        <v>#N/A</v>
      </c>
      <c r="J46" s="1" t="e">
        <f>VLOOKUP(C46,CHEGADA!A:B,2,FALSE)</f>
        <v>#N/A</v>
      </c>
    </row>
    <row r="47" spans="4:10">
      <c r="D47" s="2" t="str">
        <f>IFERROR(LEFT(Tabela1[[#This Row],[N°S]],LEN(Tabela1[[#This Row],[N°S]])-1),"")</f>
        <v/>
      </c>
      <c r="E47" s="1" t="str" cm="1">
        <f t="array" ref="E47">IFERROR(time_diff_cor(Tabela1[[#This Row],[Largada]],Tabela1[[#This Row],[Chegada]]),"00:20:00:000")</f>
        <v>00:20:00:000</v>
      </c>
      <c r="G47" s="1" t="str" cm="1">
        <f t="array" ref="G47">IF(Tabela1[[#This Row],[N°S]]="","NONE",IF(Tabela1[[#This Row],[N°]]=D46,time_sum(G46,Tabela1[[#This Row],[TEMPO]]),Tabela1[[#This Row],[TEMPO]]))</f>
        <v>NONE</v>
      </c>
      <c r="I47" s="1" t="e">
        <f>VLOOKUP(C47,LARGADA!A:B,2,FALSE)</f>
        <v>#N/A</v>
      </c>
      <c r="J47" s="1" t="e">
        <f>VLOOKUP(C47,CHEGADA!A:B,2,FALSE)</f>
        <v>#N/A</v>
      </c>
    </row>
    <row r="48" spans="4:10">
      <c r="D48" s="2" t="str">
        <f>IFERROR(LEFT(Tabela1[[#This Row],[N°S]],LEN(Tabela1[[#This Row],[N°S]])-1),"")</f>
        <v/>
      </c>
      <c r="E48" s="1" t="str" cm="1">
        <f t="array" ref="E48">IFERROR(time_diff_cor(Tabela1[[#This Row],[Largada]],Tabela1[[#This Row],[Chegada]]),"00:20:00:000")</f>
        <v>00:20:00:000</v>
      </c>
      <c r="G48" s="1" t="str" cm="1">
        <f t="array" ref="G48">IF(Tabela1[[#This Row],[N°S]]="","NONE",IF(Tabela1[[#This Row],[N°]]=D47,time_sum(G47,Tabela1[[#This Row],[TEMPO]]),Tabela1[[#This Row],[TEMPO]]))</f>
        <v>NONE</v>
      </c>
      <c r="I48" s="1" t="e">
        <f>VLOOKUP(C48,LARGADA!A:B,2,FALSE)</f>
        <v>#N/A</v>
      </c>
      <c r="J48" s="1" t="e">
        <f>VLOOKUP(C48,CHEGADA!A:B,2,FALSE)</f>
        <v>#N/A</v>
      </c>
    </row>
    <row r="49" spans="4:10">
      <c r="D49" s="2" t="str">
        <f>IFERROR(LEFT(Tabela1[[#This Row],[N°S]],LEN(Tabela1[[#This Row],[N°S]])-1),"")</f>
        <v/>
      </c>
      <c r="E49" s="1" t="str" cm="1">
        <f t="array" ref="E49">IFERROR(time_diff_cor(Tabela1[[#This Row],[Largada]],Tabela1[[#This Row],[Chegada]]),"00:20:00:000")</f>
        <v>00:20:00:000</v>
      </c>
      <c r="G49" s="1" t="str" cm="1">
        <f t="array" ref="G49">IF(Tabela1[[#This Row],[N°S]]="","NONE",IF(Tabela1[[#This Row],[N°]]=D48,time_sum(G48,Tabela1[[#This Row],[TEMPO]]),Tabela1[[#This Row],[TEMPO]]))</f>
        <v>NONE</v>
      </c>
      <c r="I49" s="1" t="e">
        <f>VLOOKUP(C49,LARGADA!A:B,2,FALSE)</f>
        <v>#N/A</v>
      </c>
      <c r="J49" s="1" t="e">
        <f>VLOOKUP(C49,CHEGADA!A:B,2,FALSE)</f>
        <v>#N/A</v>
      </c>
    </row>
    <row r="50" spans="4:10">
      <c r="D50" s="2" t="str">
        <f>IFERROR(LEFT(Tabela1[[#This Row],[N°S]],LEN(Tabela1[[#This Row],[N°S]])-1),"")</f>
        <v/>
      </c>
      <c r="E50" s="1" t="str" cm="1">
        <f t="array" ref="E50">IFERROR(time_diff_cor(Tabela1[[#This Row],[Largada]],Tabela1[[#This Row],[Chegada]]),"00:20:00:000")</f>
        <v>00:20:00:000</v>
      </c>
      <c r="G50" s="1" t="str" cm="1">
        <f t="array" ref="G50">IF(Tabela1[[#This Row],[N°S]]="","NONE",IF(Tabela1[[#This Row],[N°]]=D49,time_sum(G49,Tabela1[[#This Row],[TEMPO]]),Tabela1[[#This Row],[TEMPO]]))</f>
        <v>NONE</v>
      </c>
      <c r="I50" s="1" t="e">
        <f>VLOOKUP(C50,LARGADA!A:B,2,FALSE)</f>
        <v>#N/A</v>
      </c>
      <c r="J50" s="1" t="e">
        <f>VLOOKUP(C50,CHEGADA!A:B,2,FALSE)</f>
        <v>#N/A</v>
      </c>
    </row>
    <row r="51" spans="4:10">
      <c r="D51" s="2" t="str">
        <f>IFERROR(LEFT(Tabela1[[#This Row],[N°S]],LEN(Tabela1[[#This Row],[N°S]])-1),"")</f>
        <v/>
      </c>
      <c r="E51" s="1" t="str" cm="1">
        <f t="array" ref="E51">IFERROR(time_diff_cor(Tabela1[[#This Row],[Largada]],Tabela1[[#This Row],[Chegada]]),"00:20:00:000")</f>
        <v>00:20:00:000</v>
      </c>
      <c r="G51" s="1" t="str" cm="1">
        <f t="array" ref="G51">IF(Tabela1[[#This Row],[N°S]]="","NONE",IF(Tabela1[[#This Row],[N°]]=D50,time_sum(G50,Tabela1[[#This Row],[TEMPO]]),Tabela1[[#This Row],[TEMPO]]))</f>
        <v>NONE</v>
      </c>
      <c r="I51" s="1" t="e">
        <f>VLOOKUP(C51,LARGADA!A:B,2,FALSE)</f>
        <v>#N/A</v>
      </c>
      <c r="J51" s="1" t="e">
        <f>VLOOKUP(C51,CHEGADA!A:B,2,FALSE)</f>
        <v>#N/A</v>
      </c>
    </row>
    <row r="52" spans="4:10">
      <c r="D52" s="2" t="str">
        <f>IFERROR(LEFT(Tabela1[[#This Row],[N°S]],LEN(Tabela1[[#This Row],[N°S]])-1),"")</f>
        <v/>
      </c>
      <c r="E52" s="1" t="str" cm="1">
        <f t="array" ref="E52">IFERROR(time_diff_cor(Tabela1[[#This Row],[Largada]],Tabela1[[#This Row],[Chegada]]),"00:20:00:000")</f>
        <v>00:20:00:000</v>
      </c>
      <c r="G52" s="1" t="str" cm="1">
        <f t="array" ref="G52">IF(Tabela1[[#This Row],[N°S]]="","NONE",IF(Tabela1[[#This Row],[N°]]=D51,time_sum(G51,Tabela1[[#This Row],[TEMPO]]),Tabela1[[#This Row],[TEMPO]]))</f>
        <v>NONE</v>
      </c>
      <c r="I52" s="1" t="e">
        <f>VLOOKUP(C52,LARGADA!A:B,2,FALSE)</f>
        <v>#N/A</v>
      </c>
      <c r="J52" s="1" t="e">
        <f>VLOOKUP(C52,CHEGADA!A:B,2,FALSE)</f>
        <v>#N/A</v>
      </c>
    </row>
    <row r="53" spans="4:10">
      <c r="D53" s="2" t="str">
        <f>IFERROR(LEFT(Tabela1[[#This Row],[N°S]],LEN(Tabela1[[#This Row],[N°S]])-1),"")</f>
        <v/>
      </c>
      <c r="E53" s="1" t="str" cm="1">
        <f t="array" ref="E53">IFERROR(time_diff_cor(Tabela1[[#This Row],[Largada]],Tabela1[[#This Row],[Chegada]]),"00:20:00:000")</f>
        <v>00:20:00:000</v>
      </c>
      <c r="G53" s="1" t="str" cm="1">
        <f t="array" ref="G53">IF(Tabela1[[#This Row],[N°S]]="","NONE",IF(Tabela1[[#This Row],[N°]]=D52,time_sum(G52,Tabela1[[#This Row],[TEMPO]]),Tabela1[[#This Row],[TEMPO]]))</f>
        <v>NONE</v>
      </c>
      <c r="I53" s="1" t="e">
        <f>VLOOKUP(C53,LARGADA!A:B,2,FALSE)</f>
        <v>#N/A</v>
      </c>
      <c r="J53" s="1" t="e">
        <f>VLOOKUP(C53,CHEGADA!A:B,2,FALSE)</f>
        <v>#N/A</v>
      </c>
    </row>
    <row r="54" spans="4:10">
      <c r="D54" s="2" t="str">
        <f>IFERROR(LEFT(Tabela1[[#This Row],[N°S]],LEN(Tabela1[[#This Row],[N°S]])-1),"")</f>
        <v/>
      </c>
      <c r="E54" s="1" t="str" cm="1">
        <f t="array" ref="E54">IFERROR(time_diff_cor(Tabela1[[#This Row],[Largada]],Tabela1[[#This Row],[Chegada]]),"00:20:00:000")</f>
        <v>00:20:00:000</v>
      </c>
      <c r="G54" s="1" t="str" cm="1">
        <f t="array" ref="G54">IF(Tabela1[[#This Row],[N°S]]="","NONE",IF(Tabela1[[#This Row],[N°]]=D53,time_sum(G53,Tabela1[[#This Row],[TEMPO]]),Tabela1[[#This Row],[TEMPO]]))</f>
        <v>NONE</v>
      </c>
      <c r="I54" s="1" t="e">
        <f>VLOOKUP(C54,LARGADA!A:B,2,FALSE)</f>
        <v>#N/A</v>
      </c>
      <c r="J54" s="1" t="e">
        <f>VLOOKUP(C54,CHEGADA!A:B,2,FALSE)</f>
        <v>#N/A</v>
      </c>
    </row>
    <row r="55" spans="4:10">
      <c r="D55" s="2" t="str">
        <f>IFERROR(LEFT(Tabela1[[#This Row],[N°S]],LEN(Tabela1[[#This Row],[N°S]])-1),"")</f>
        <v/>
      </c>
      <c r="E55" s="1" t="str" cm="1">
        <f t="array" ref="E55">IFERROR(time_diff_cor(Tabela1[[#This Row],[Largada]],Tabela1[[#This Row],[Chegada]]),"00:20:00:000")</f>
        <v>00:20:00:000</v>
      </c>
      <c r="G55" s="1" t="str" cm="1">
        <f t="array" ref="G55">IF(Tabela1[[#This Row],[N°S]]="","NONE",IF(Tabela1[[#This Row],[N°]]=D54,time_sum(G54,Tabela1[[#This Row],[TEMPO]]),Tabela1[[#This Row],[TEMPO]]))</f>
        <v>NONE</v>
      </c>
      <c r="I55" s="1" t="e">
        <f>VLOOKUP(C55,LARGADA!A:B,2,FALSE)</f>
        <v>#N/A</v>
      </c>
      <c r="J55" s="1" t="e">
        <f>VLOOKUP(C55,CHEGADA!A:B,2,FALSE)</f>
        <v>#N/A</v>
      </c>
    </row>
    <row r="56" spans="4:10">
      <c r="D56" s="2" t="str">
        <f>IFERROR(LEFT(Tabela1[[#This Row],[N°S]],LEN(Tabela1[[#This Row],[N°S]])-1),"")</f>
        <v/>
      </c>
      <c r="E56" s="1" t="str" cm="1">
        <f t="array" ref="E56">IFERROR(time_diff_cor(Tabela1[[#This Row],[Largada]],Tabela1[[#This Row],[Chegada]]),"00:20:00:000")</f>
        <v>00:20:00:000</v>
      </c>
      <c r="G56" s="1" t="str" cm="1">
        <f t="array" ref="G56">IF(Tabela1[[#This Row],[N°S]]="","NONE",IF(Tabela1[[#This Row],[N°]]=D55,time_sum(G55,Tabela1[[#This Row],[TEMPO]]),Tabela1[[#This Row],[TEMPO]]))</f>
        <v>NONE</v>
      </c>
      <c r="I56" s="1" t="e">
        <f>VLOOKUP(C56,LARGADA!A:B,2,FALSE)</f>
        <v>#N/A</v>
      </c>
      <c r="J56" s="1" t="e">
        <f>VLOOKUP(C56,CHEGADA!A:B,2,FALSE)</f>
        <v>#N/A</v>
      </c>
    </row>
    <row r="57" spans="4:10">
      <c r="D57" s="2" t="str">
        <f>IFERROR(LEFT(Tabela1[[#This Row],[N°S]],LEN(Tabela1[[#This Row],[N°S]])-1),"")</f>
        <v/>
      </c>
      <c r="E57" s="1" t="str" cm="1">
        <f t="array" ref="E57">IFERROR(time_diff_cor(Tabela1[[#This Row],[Largada]],Tabela1[[#This Row],[Chegada]]),"00:20:00:000")</f>
        <v>00:20:00:000</v>
      </c>
      <c r="G57" s="1" t="str" cm="1">
        <f t="array" ref="G57">IF(Tabela1[[#This Row],[N°S]]="","NONE",IF(Tabela1[[#This Row],[N°]]=D56,time_sum(G56,Tabela1[[#This Row],[TEMPO]]),Tabela1[[#This Row],[TEMPO]]))</f>
        <v>NONE</v>
      </c>
      <c r="I57" s="1" t="e">
        <f>VLOOKUP(C57,LARGADA!A:B,2,FALSE)</f>
        <v>#N/A</v>
      </c>
      <c r="J57" s="1" t="e">
        <f>VLOOKUP(C57,CHEGADA!A:B,2,FALSE)</f>
        <v>#N/A</v>
      </c>
    </row>
    <row r="58" spans="4:10">
      <c r="D58" s="2" t="str">
        <f>IFERROR(LEFT(Tabela1[[#This Row],[N°S]],LEN(Tabela1[[#This Row],[N°S]])-1),"")</f>
        <v/>
      </c>
      <c r="E58" s="1" t="str" cm="1">
        <f t="array" ref="E58">IFERROR(time_diff_cor(Tabela1[[#This Row],[Largada]],Tabela1[[#This Row],[Chegada]]),"00:20:00:000")</f>
        <v>00:20:00:000</v>
      </c>
      <c r="G58" s="1" t="str" cm="1">
        <f t="array" ref="G58">IF(Tabela1[[#This Row],[N°S]]="","NONE",IF(Tabela1[[#This Row],[N°]]=D57,time_sum(G57,Tabela1[[#This Row],[TEMPO]]),Tabela1[[#This Row],[TEMPO]]))</f>
        <v>NONE</v>
      </c>
      <c r="I58" s="1" t="e">
        <f>VLOOKUP(C58,LARGADA!A:B,2,FALSE)</f>
        <v>#N/A</v>
      </c>
      <c r="J58" s="1" t="e">
        <f>VLOOKUP(C58,CHEGADA!A:B,2,FALSE)</f>
        <v>#N/A</v>
      </c>
    </row>
    <row r="59" spans="4:10">
      <c r="D59" s="2" t="str">
        <f>IFERROR(LEFT(Tabela1[[#This Row],[N°S]],LEN(Tabela1[[#This Row],[N°S]])-1),"")</f>
        <v/>
      </c>
      <c r="E59" s="1" t="str" cm="1">
        <f t="array" ref="E59">IFERROR(time_diff_cor(Tabela1[[#This Row],[Largada]],Tabela1[[#This Row],[Chegada]]),"00:20:00:000")</f>
        <v>00:20:00:000</v>
      </c>
      <c r="G59" s="1" t="str" cm="1">
        <f t="array" ref="G59">IF(Tabela1[[#This Row],[N°S]]="","NONE",IF(Tabela1[[#This Row],[N°]]=D58,time_sum(G58,Tabela1[[#This Row],[TEMPO]]),Tabela1[[#This Row],[TEMPO]]))</f>
        <v>NONE</v>
      </c>
      <c r="I59" s="1" t="e">
        <f>VLOOKUP(C59,LARGADA!A:B,2,FALSE)</f>
        <v>#N/A</v>
      </c>
      <c r="J59" s="1" t="e">
        <f>VLOOKUP(C59,CHEGADA!A:B,2,FALSE)</f>
        <v>#N/A</v>
      </c>
    </row>
    <row r="60" spans="4:10">
      <c r="D60" s="2" t="str">
        <f>IFERROR(LEFT(Tabela1[[#This Row],[N°S]],LEN(Tabela1[[#This Row],[N°S]])-1),"")</f>
        <v/>
      </c>
      <c r="E60" s="1" t="str" cm="1">
        <f t="array" ref="E60">IFERROR(time_diff_cor(Tabela1[[#This Row],[Largada]],Tabela1[[#This Row],[Chegada]]),"00:20:00:000")</f>
        <v>00:20:00:000</v>
      </c>
      <c r="G60" s="1" t="str" cm="1">
        <f t="array" ref="G60">IF(Tabela1[[#This Row],[N°S]]="","NONE",IF(Tabela1[[#This Row],[N°]]=D59,time_sum(G59,Tabela1[[#This Row],[TEMPO]]),Tabela1[[#This Row],[TEMPO]]))</f>
        <v>NONE</v>
      </c>
      <c r="I60" s="1" t="e">
        <f>VLOOKUP(C60,LARGADA!A:B,2,FALSE)</f>
        <v>#N/A</v>
      </c>
      <c r="J60" s="1" t="e">
        <f>VLOOKUP(C60,CHEGADA!A:B,2,FALSE)</f>
        <v>#N/A</v>
      </c>
    </row>
    <row r="61" spans="4:10">
      <c r="D61" s="2" t="str">
        <f>IFERROR(LEFT(Tabela1[[#This Row],[N°S]],LEN(Tabela1[[#This Row],[N°S]])-1),"")</f>
        <v/>
      </c>
      <c r="E61" s="1" t="str" cm="1">
        <f t="array" ref="E61">IFERROR(time_diff_cor(Tabela1[[#This Row],[Largada]],Tabela1[[#This Row],[Chegada]]),"00:20:00:000")</f>
        <v>00:20:00:000</v>
      </c>
      <c r="G61" s="1" t="str" cm="1">
        <f t="array" ref="G61">IF(Tabela1[[#This Row],[N°S]]="","NONE",IF(Tabela1[[#This Row],[N°]]=D60,time_sum(G60,Tabela1[[#This Row],[TEMPO]]),Tabela1[[#This Row],[TEMPO]]))</f>
        <v>NONE</v>
      </c>
      <c r="I61" s="1" t="e">
        <f>VLOOKUP(C61,LARGADA!A:B,2,FALSE)</f>
        <v>#N/A</v>
      </c>
      <c r="J61" s="1" t="e">
        <f>VLOOKUP(C61,CHEGADA!A:B,2,FALSE)</f>
        <v>#N/A</v>
      </c>
    </row>
    <row r="62" spans="4:10">
      <c r="D62" s="2" t="str">
        <f>IFERROR(LEFT(Tabela1[[#This Row],[N°S]],LEN(Tabela1[[#This Row],[N°S]])-1),"")</f>
        <v/>
      </c>
      <c r="E62" s="1" t="str" cm="1">
        <f t="array" ref="E62">IFERROR(time_diff_cor(Tabela1[[#This Row],[Largada]],Tabela1[[#This Row],[Chegada]]),"00:20:00:000")</f>
        <v>00:20:00:000</v>
      </c>
      <c r="G62" s="1" t="str" cm="1">
        <f t="array" ref="G62">IF(Tabela1[[#This Row],[N°S]]="","NONE",IF(Tabela1[[#This Row],[N°]]=D61,time_sum(G61,Tabela1[[#This Row],[TEMPO]]),Tabela1[[#This Row],[TEMPO]]))</f>
        <v>NONE</v>
      </c>
      <c r="I62" s="1" t="e">
        <f>VLOOKUP(C62,LARGADA!A:B,2,FALSE)</f>
        <v>#N/A</v>
      </c>
      <c r="J62" s="1" t="e">
        <f>VLOOKUP(C62,CHEGADA!A:B,2,FALSE)</f>
        <v>#N/A</v>
      </c>
    </row>
    <row r="63" spans="4:10">
      <c r="D63" s="2" t="str">
        <f>IFERROR(LEFT(Tabela1[[#This Row],[N°S]],LEN(Tabela1[[#This Row],[N°S]])-1),"")</f>
        <v/>
      </c>
      <c r="E63" s="1" t="str" cm="1">
        <f t="array" ref="E63">IFERROR(time_diff_cor(Tabela1[[#This Row],[Largada]],Tabela1[[#This Row],[Chegada]]),"00:20:00:000")</f>
        <v>00:20:00:000</v>
      </c>
      <c r="G63" s="1" t="str" cm="1">
        <f t="array" ref="G63">IF(Tabela1[[#This Row],[N°S]]="","NONE",IF(Tabela1[[#This Row],[N°]]=D62,time_sum(G62,Tabela1[[#This Row],[TEMPO]]),Tabela1[[#This Row],[TEMPO]]))</f>
        <v>NONE</v>
      </c>
      <c r="I63" s="1" t="e">
        <f>VLOOKUP(C63,LARGADA!A:B,2,FALSE)</f>
        <v>#N/A</v>
      </c>
      <c r="J63" s="1" t="e">
        <f>VLOOKUP(C63,CHEGADA!A:B,2,FALSE)</f>
        <v>#N/A</v>
      </c>
    </row>
    <row r="64" spans="4:10">
      <c r="D64" s="2" t="str">
        <f>IFERROR(LEFT(Tabela1[[#This Row],[N°S]],LEN(Tabela1[[#This Row],[N°S]])-1),"")</f>
        <v/>
      </c>
      <c r="E64" s="1" t="str" cm="1">
        <f t="array" ref="E64">IFERROR(time_diff_cor(Tabela1[[#This Row],[Largada]],Tabela1[[#This Row],[Chegada]]),"00:20:00:000")</f>
        <v>00:20:00:000</v>
      </c>
      <c r="G64" s="1" t="str" cm="1">
        <f t="array" ref="G64">IF(Tabela1[[#This Row],[N°S]]="","NONE",IF(Tabela1[[#This Row],[N°]]=D63,time_sum(G63,Tabela1[[#This Row],[TEMPO]]),Tabela1[[#This Row],[TEMPO]]))</f>
        <v>NONE</v>
      </c>
      <c r="I64" s="1" t="e">
        <f>VLOOKUP(C64,LARGADA!A:B,2,FALSE)</f>
        <v>#N/A</v>
      </c>
      <c r="J64" s="1" t="e">
        <f>VLOOKUP(C64,CHEGADA!A:B,2,FALSE)</f>
        <v>#N/A</v>
      </c>
    </row>
    <row r="65" spans="4:10">
      <c r="D65" s="2" t="str">
        <f>IFERROR(LEFT(Tabela1[[#This Row],[N°S]],LEN(Tabela1[[#This Row],[N°S]])-1),"")</f>
        <v/>
      </c>
      <c r="E65" s="1" t="str" cm="1">
        <f t="array" ref="E65">IFERROR(time_diff_cor(Tabela1[[#This Row],[Largada]],Tabela1[[#This Row],[Chegada]]),"00:20:00:000")</f>
        <v>00:20:00:000</v>
      </c>
      <c r="G65" s="1" t="str" cm="1">
        <f t="array" ref="G65">IF(Tabela1[[#This Row],[N°S]]="","NONE",IF(Tabela1[[#This Row],[N°]]=D64,time_sum(G64,Tabela1[[#This Row],[TEMPO]]),Tabela1[[#This Row],[TEMPO]]))</f>
        <v>NONE</v>
      </c>
      <c r="I65" s="1" t="e">
        <f>VLOOKUP(C65,LARGADA!A:B,2,FALSE)</f>
        <v>#N/A</v>
      </c>
      <c r="J65" s="1" t="e">
        <f>VLOOKUP(C65,CHEGADA!A:B,2,FALSE)</f>
        <v>#N/A</v>
      </c>
    </row>
    <row r="66" spans="4:10">
      <c r="D66" s="2" t="str">
        <f>IFERROR(LEFT(Tabela1[[#This Row],[N°S]],LEN(Tabela1[[#This Row],[N°S]])-1),"")</f>
        <v/>
      </c>
      <c r="E66" s="1" t="str" cm="1">
        <f t="array" ref="E66">IFERROR(time_diff_cor(Tabela1[[#This Row],[Largada]],Tabela1[[#This Row],[Chegada]]),"00:20:00:000")</f>
        <v>00:20:00:000</v>
      </c>
      <c r="G66" s="1" t="str" cm="1">
        <f t="array" ref="G66">IF(Tabela1[[#This Row],[N°S]]="","NONE",IF(Tabela1[[#This Row],[N°]]=D65,time_sum(G65,Tabela1[[#This Row],[TEMPO]]),Tabela1[[#This Row],[TEMPO]]))</f>
        <v>NONE</v>
      </c>
      <c r="I66" s="1" t="e">
        <f>VLOOKUP(C66,LARGADA!A:B,2,FALSE)</f>
        <v>#N/A</v>
      </c>
      <c r="J66" s="1" t="e">
        <f>VLOOKUP(C66,CHEGADA!A:B,2,FALSE)</f>
        <v>#N/A</v>
      </c>
    </row>
    <row r="67" spans="4:10">
      <c r="D67" s="2" t="str">
        <f>IFERROR(LEFT(Tabela1[[#This Row],[N°S]],LEN(Tabela1[[#This Row],[N°S]])-1),"")</f>
        <v/>
      </c>
      <c r="E67" s="1" t="str" cm="1">
        <f t="array" ref="E67">IFERROR(time_diff_cor(Tabela1[[#This Row],[Largada]],Tabela1[[#This Row],[Chegada]]),"00:20:00:000")</f>
        <v>00:20:00:000</v>
      </c>
      <c r="G67" s="1" t="str" cm="1">
        <f t="array" ref="G67">IF(Tabela1[[#This Row],[N°S]]="","NONE",IF(Tabela1[[#This Row],[N°]]=D66,time_sum(G66,Tabela1[[#This Row],[TEMPO]]),Tabela1[[#This Row],[TEMPO]]))</f>
        <v>NONE</v>
      </c>
      <c r="I67" s="1" t="e">
        <f>VLOOKUP(C67,LARGADA!A:B,2,FALSE)</f>
        <v>#N/A</v>
      </c>
      <c r="J67" s="1" t="e">
        <f>VLOOKUP(C67,CHEGADA!A:B,2,FALSE)</f>
        <v>#N/A</v>
      </c>
    </row>
    <row r="68" spans="4:10">
      <c r="D68" s="2" t="str">
        <f>IFERROR(LEFT(Tabela1[[#This Row],[N°S]],LEN(Tabela1[[#This Row],[N°S]])-1),"")</f>
        <v/>
      </c>
      <c r="E68" s="1" t="str" cm="1">
        <f t="array" ref="E68">IFERROR(time_diff_cor(Tabela1[[#This Row],[Largada]],Tabela1[[#This Row],[Chegada]]),"00:20:00:000")</f>
        <v>00:20:00:000</v>
      </c>
      <c r="G68" s="1" t="str" cm="1">
        <f t="array" ref="G68">IF(Tabela1[[#This Row],[N°S]]="","NONE",IF(Tabela1[[#This Row],[N°]]=D67,time_sum(G67,Tabela1[[#This Row],[TEMPO]]),Tabela1[[#This Row],[TEMPO]]))</f>
        <v>NONE</v>
      </c>
      <c r="I68" s="1" t="e">
        <f>VLOOKUP(C68,LARGADA!A:B,2,FALSE)</f>
        <v>#N/A</v>
      </c>
      <c r="J68" s="1" t="e">
        <f>VLOOKUP(C68,CHEGADA!A:B,2,FALSE)</f>
        <v>#N/A</v>
      </c>
    </row>
    <row r="69" spans="4:10">
      <c r="D69" s="2" t="str">
        <f>IFERROR(LEFT(Tabela1[[#This Row],[N°S]],LEN(Tabela1[[#This Row],[N°S]])-1),"")</f>
        <v/>
      </c>
      <c r="E69" s="1" t="str" cm="1">
        <f t="array" ref="E69">IFERROR(time_diff_cor(Tabela1[[#This Row],[Largada]],Tabela1[[#This Row],[Chegada]]),"00:20:00:000")</f>
        <v>00:20:00:000</v>
      </c>
      <c r="G69" s="1" t="str" cm="1">
        <f t="array" ref="G69">IF(Tabela1[[#This Row],[N°S]]="","NONE",IF(Tabela1[[#This Row],[N°]]=D68,time_sum(G68,Tabela1[[#This Row],[TEMPO]]),Tabela1[[#This Row],[TEMPO]]))</f>
        <v>NONE</v>
      </c>
      <c r="I69" s="1" t="e">
        <f>VLOOKUP(C69,LARGADA!A:B,2,FALSE)</f>
        <v>#N/A</v>
      </c>
      <c r="J69" s="1" t="e">
        <f>VLOOKUP(C69,CHEGADA!A:B,2,FALSE)</f>
        <v>#N/A</v>
      </c>
    </row>
    <row r="70" spans="4:10">
      <c r="D70" s="2" t="str">
        <f>IFERROR(LEFT(Tabela1[[#This Row],[N°S]],LEN(Tabela1[[#This Row],[N°S]])-1),"")</f>
        <v/>
      </c>
      <c r="E70" s="1" t="str" cm="1">
        <f t="array" ref="E70">IFERROR(time_diff_cor(Tabela1[[#This Row],[Largada]],Tabela1[[#This Row],[Chegada]]),"00:20:00:000")</f>
        <v>00:20:00:000</v>
      </c>
      <c r="G70" s="1" t="str" cm="1">
        <f t="array" ref="G70">IF(Tabela1[[#This Row],[N°S]]="","NONE",IF(Tabela1[[#This Row],[N°]]=D69,time_sum(G69,Tabela1[[#This Row],[TEMPO]]),Tabela1[[#This Row],[TEMPO]]))</f>
        <v>NONE</v>
      </c>
      <c r="I70" s="1" t="e">
        <f>VLOOKUP(C70,LARGADA!A:B,2,FALSE)</f>
        <v>#N/A</v>
      </c>
      <c r="J70" s="1" t="e">
        <f>VLOOKUP(C70,CHEGADA!A:B,2,FALSE)</f>
        <v>#N/A</v>
      </c>
    </row>
    <row r="71" spans="4:10">
      <c r="D71" s="2" t="str">
        <f>IFERROR(LEFT(Tabela1[[#This Row],[N°S]],LEN(Tabela1[[#This Row],[N°S]])-1),"")</f>
        <v/>
      </c>
      <c r="E71" s="1" t="str" cm="1">
        <f t="array" ref="E71">IFERROR(time_diff_cor(Tabela1[[#This Row],[Largada]],Tabela1[[#This Row],[Chegada]]),"00:20:00:000")</f>
        <v>00:20:00:000</v>
      </c>
      <c r="G71" s="1" t="str" cm="1">
        <f t="array" ref="G71">IF(Tabela1[[#This Row],[N°S]]="","NONE",IF(Tabela1[[#This Row],[N°]]=D70,time_sum(G70,Tabela1[[#This Row],[TEMPO]]),Tabela1[[#This Row],[TEMPO]]))</f>
        <v>NONE</v>
      </c>
      <c r="I71" s="1" t="e">
        <f>VLOOKUP(C71,LARGADA!A:B,2,FALSE)</f>
        <v>#N/A</v>
      </c>
      <c r="J71" s="1" t="e">
        <f>VLOOKUP(C71,CHEGADA!A:B,2,FALSE)</f>
        <v>#N/A</v>
      </c>
    </row>
    <row r="72" spans="4:10">
      <c r="D72" s="2" t="str">
        <f>IFERROR(LEFT(Tabela1[[#This Row],[N°S]],LEN(Tabela1[[#This Row],[N°S]])-1),"")</f>
        <v/>
      </c>
      <c r="E72" s="1" t="str" cm="1">
        <f t="array" ref="E72">IFERROR(time_diff_cor(Tabela1[[#This Row],[Largada]],Tabela1[[#This Row],[Chegada]]),"00:20:00:000")</f>
        <v>00:20:00:000</v>
      </c>
      <c r="G72" s="1" t="str" cm="1">
        <f t="array" ref="G72">IF(Tabela1[[#This Row],[N°S]]="","NONE",IF(Tabela1[[#This Row],[N°]]=D71,time_sum(G71,Tabela1[[#This Row],[TEMPO]]),Tabela1[[#This Row],[TEMPO]]))</f>
        <v>NONE</v>
      </c>
      <c r="I72" s="1" t="e">
        <f>VLOOKUP(C72,LARGADA!A:B,2,FALSE)</f>
        <v>#N/A</v>
      </c>
      <c r="J72" s="1" t="e">
        <f>VLOOKUP(C72,CHEGADA!A:B,2,FALSE)</f>
        <v>#N/A</v>
      </c>
    </row>
    <row r="73" spans="4:10">
      <c r="D73" s="2" t="str">
        <f>IFERROR(LEFT(Tabela1[[#This Row],[N°S]],LEN(Tabela1[[#This Row],[N°S]])-1),"")</f>
        <v/>
      </c>
      <c r="E73" s="1" t="str" cm="1">
        <f t="array" ref="E73">IFERROR(time_diff_cor(Tabela1[[#This Row],[Largada]],Tabela1[[#This Row],[Chegada]]),"00:20:00:000")</f>
        <v>00:20:00:000</v>
      </c>
      <c r="G73" s="1" t="str" cm="1">
        <f t="array" ref="G73">IF(Tabela1[[#This Row],[N°S]]="","NONE",IF(Tabela1[[#This Row],[N°]]=D72,time_sum(G72,Tabela1[[#This Row],[TEMPO]]),Tabela1[[#This Row],[TEMPO]]))</f>
        <v>NONE</v>
      </c>
      <c r="I73" s="1" t="e">
        <f>VLOOKUP(C73,LARGADA!A:B,2,FALSE)</f>
        <v>#N/A</v>
      </c>
      <c r="J73" s="1" t="e">
        <f>VLOOKUP(C73,CHEGADA!A:B,2,FALSE)</f>
        <v>#N/A</v>
      </c>
    </row>
    <row r="74" spans="4:10">
      <c r="D74" s="2" t="str">
        <f>IFERROR(LEFT(Tabela1[[#This Row],[N°S]],LEN(Tabela1[[#This Row],[N°S]])-1),"")</f>
        <v/>
      </c>
      <c r="E74" s="1" t="str" cm="1">
        <f t="array" ref="E74">IFERROR(time_diff_cor(Tabela1[[#This Row],[Largada]],Tabela1[[#This Row],[Chegada]]),"00:20:00:000")</f>
        <v>00:20:00:000</v>
      </c>
      <c r="G74" s="1" t="str" cm="1">
        <f t="array" ref="G74">IF(Tabela1[[#This Row],[N°S]]="","NONE",IF(Tabela1[[#This Row],[N°]]=D73,time_sum(G73,Tabela1[[#This Row],[TEMPO]]),Tabela1[[#This Row],[TEMPO]]))</f>
        <v>NONE</v>
      </c>
      <c r="I74" s="1" t="e">
        <f>VLOOKUP(C74,LARGADA!A:B,2,FALSE)</f>
        <v>#N/A</v>
      </c>
      <c r="J74" s="1" t="e">
        <f>VLOOKUP(C74,CHEGADA!A:B,2,FALSE)</f>
        <v>#N/A</v>
      </c>
    </row>
    <row r="75" spans="4:10">
      <c r="D75" s="2" t="str">
        <f>IFERROR(LEFT(Tabela1[[#This Row],[N°S]],LEN(Tabela1[[#This Row],[N°S]])-1),"")</f>
        <v/>
      </c>
      <c r="E75" s="1" t="str" cm="1">
        <f t="array" ref="E75">IFERROR(time_diff_cor(Tabela1[[#This Row],[Largada]],Tabela1[[#This Row],[Chegada]]),"00:20:00:000")</f>
        <v>00:20:00:000</v>
      </c>
      <c r="G75" s="1" t="str" cm="1">
        <f t="array" ref="G75">IF(Tabela1[[#This Row],[N°S]]="","NONE",IF(Tabela1[[#This Row],[N°]]=D74,time_sum(G74,Tabela1[[#This Row],[TEMPO]]),Tabela1[[#This Row],[TEMPO]]))</f>
        <v>NONE</v>
      </c>
      <c r="I75" s="1" t="e">
        <f>VLOOKUP(C75,LARGADA!A:B,2,FALSE)</f>
        <v>#N/A</v>
      </c>
      <c r="J75" s="1" t="e">
        <f>VLOOKUP(C75,CHEGADA!A:B,2,FALSE)</f>
        <v>#N/A</v>
      </c>
    </row>
    <row r="76" spans="4:10">
      <c r="D76" s="2" t="str">
        <f>IFERROR(LEFT(Tabela1[[#This Row],[N°S]],LEN(Tabela1[[#This Row],[N°S]])-1),"")</f>
        <v/>
      </c>
      <c r="E76" s="1" t="str" cm="1">
        <f t="array" ref="E76">IFERROR(time_diff_cor(Tabela1[[#This Row],[Largada]],Tabela1[[#This Row],[Chegada]]),"00:20:00:000")</f>
        <v>00:20:00:000</v>
      </c>
      <c r="G76" s="1" t="str" cm="1">
        <f t="array" ref="G76">IF(Tabela1[[#This Row],[N°S]]="","NONE",IF(Tabela1[[#This Row],[N°]]=D75,time_sum(G75,Tabela1[[#This Row],[TEMPO]]),Tabela1[[#This Row],[TEMPO]]))</f>
        <v>NONE</v>
      </c>
      <c r="I76" s="1" t="e">
        <f>VLOOKUP(C76,LARGADA!A:B,2,FALSE)</f>
        <v>#N/A</v>
      </c>
      <c r="J76" s="1" t="e">
        <f>VLOOKUP(C76,CHEGADA!A:B,2,FALSE)</f>
        <v>#N/A</v>
      </c>
    </row>
    <row r="77" spans="4:10">
      <c r="D77" s="2" t="str">
        <f>IFERROR(LEFT(Tabela1[[#This Row],[N°S]],LEN(Tabela1[[#This Row],[N°S]])-1),"")</f>
        <v/>
      </c>
      <c r="E77" s="1" t="str" cm="1">
        <f t="array" ref="E77">IFERROR(time_diff_cor(Tabela1[[#This Row],[Largada]],Tabela1[[#This Row],[Chegada]]),"00:20:00:000")</f>
        <v>00:20:00:000</v>
      </c>
      <c r="G77" s="1" t="str" cm="1">
        <f t="array" ref="G77">IF(Tabela1[[#This Row],[N°S]]="","NONE",IF(Tabela1[[#This Row],[N°]]=D76,time_sum(G76,Tabela1[[#This Row],[TEMPO]]),Tabela1[[#This Row],[TEMPO]]))</f>
        <v>NONE</v>
      </c>
      <c r="I77" s="1" t="e">
        <f>VLOOKUP(C77,LARGADA!A:B,2,FALSE)</f>
        <v>#N/A</v>
      </c>
      <c r="J77" s="1" t="e">
        <f>VLOOKUP(C77,CHEGADA!A:B,2,FALSE)</f>
        <v>#N/A</v>
      </c>
    </row>
    <row r="78" spans="4:10">
      <c r="D78" s="2" t="str">
        <f>IFERROR(LEFT(Tabela1[[#This Row],[N°S]],LEN(Tabela1[[#This Row],[N°S]])-1),"")</f>
        <v/>
      </c>
      <c r="E78" s="1" t="str" cm="1">
        <f t="array" ref="E78">IFERROR(time_diff_cor(Tabela1[[#This Row],[Largada]],Tabela1[[#This Row],[Chegada]]),"00:20:00:000")</f>
        <v>00:20:00:000</v>
      </c>
      <c r="G78" s="1" t="str" cm="1">
        <f t="array" ref="G78">IF(Tabela1[[#This Row],[N°S]]="","NONE",IF(Tabela1[[#This Row],[N°]]=D77,time_sum(G77,Tabela1[[#This Row],[TEMPO]]),Tabela1[[#This Row],[TEMPO]]))</f>
        <v>NONE</v>
      </c>
      <c r="I78" s="1" t="e">
        <f>VLOOKUP(C78,LARGADA!A:B,2,FALSE)</f>
        <v>#N/A</v>
      </c>
      <c r="J78" s="1" t="e">
        <f>VLOOKUP(C78,CHEGADA!A:B,2,FALSE)</f>
        <v>#N/A</v>
      </c>
    </row>
    <row r="79" spans="4:10">
      <c r="D79" s="2" t="str">
        <f>IFERROR(LEFT(Tabela1[[#This Row],[N°S]],LEN(Tabela1[[#This Row],[N°S]])-1),"")</f>
        <v/>
      </c>
      <c r="E79" s="1" t="str" cm="1">
        <f t="array" ref="E79">IFERROR(time_diff_cor(Tabela1[[#This Row],[Largada]],Tabela1[[#This Row],[Chegada]]),"00:20:00:000")</f>
        <v>00:20:00:000</v>
      </c>
      <c r="G79" s="1" t="str" cm="1">
        <f t="array" ref="G79">IF(Tabela1[[#This Row],[N°S]]="","NONE",IF(Tabela1[[#This Row],[N°]]=D78,time_sum(G78,Tabela1[[#This Row],[TEMPO]]),Tabela1[[#This Row],[TEMPO]]))</f>
        <v>NONE</v>
      </c>
      <c r="I79" s="1" t="e">
        <f>VLOOKUP(C79,LARGADA!A:B,2,FALSE)</f>
        <v>#N/A</v>
      </c>
      <c r="J79" s="1" t="e">
        <f>VLOOKUP(C79,CHEGADA!A:B,2,FALSE)</f>
        <v>#N/A</v>
      </c>
    </row>
    <row r="80" spans="4:10">
      <c r="D80" s="2" t="str">
        <f>IFERROR(LEFT(Tabela1[[#This Row],[N°S]],LEN(Tabela1[[#This Row],[N°S]])-1),"")</f>
        <v/>
      </c>
      <c r="E80" s="1" t="str" cm="1">
        <f t="array" ref="E80">IFERROR(time_diff_cor(Tabela1[[#This Row],[Largada]],Tabela1[[#This Row],[Chegada]]),"00:20:00:000")</f>
        <v>00:20:00:000</v>
      </c>
      <c r="G80" s="1" t="str" cm="1">
        <f t="array" ref="G80">IF(Tabela1[[#This Row],[N°S]]="","NONE",IF(Tabela1[[#This Row],[N°]]=D79,time_sum(G79,Tabela1[[#This Row],[TEMPO]]),Tabela1[[#This Row],[TEMPO]]))</f>
        <v>NONE</v>
      </c>
      <c r="I80" s="1" t="e">
        <f>VLOOKUP(C80,LARGADA!A:B,2,FALSE)</f>
        <v>#N/A</v>
      </c>
      <c r="J80" s="1" t="e">
        <f>VLOOKUP(C80,CHEGADA!A:B,2,FALSE)</f>
        <v>#N/A</v>
      </c>
    </row>
    <row r="81" spans="4:10">
      <c r="D81" s="2" t="str">
        <f>IFERROR(LEFT(Tabela1[[#This Row],[N°S]],LEN(Tabela1[[#This Row],[N°S]])-1),"")</f>
        <v/>
      </c>
      <c r="E81" s="1" t="str" cm="1">
        <f t="array" ref="E81">IFERROR(time_diff_cor(Tabela1[[#This Row],[Largada]],Tabela1[[#This Row],[Chegada]]),"00:20:00:000")</f>
        <v>00:20:00:000</v>
      </c>
      <c r="G81" s="1" t="str" cm="1">
        <f t="array" ref="G81">IF(Tabela1[[#This Row],[N°S]]="","NONE",IF(Tabela1[[#This Row],[N°]]=D80,time_sum(G80,Tabela1[[#This Row],[TEMPO]]),Tabela1[[#This Row],[TEMPO]]))</f>
        <v>NONE</v>
      </c>
      <c r="I81" s="1" t="e">
        <f>VLOOKUP(C81,LARGADA!A:B,2,FALSE)</f>
        <v>#N/A</v>
      </c>
      <c r="J81" s="1" t="e">
        <f>VLOOKUP(C81,CHEGADA!A:B,2,FALSE)</f>
        <v>#N/A</v>
      </c>
    </row>
    <row r="82" spans="4:10">
      <c r="D82" s="2" t="str">
        <f>IFERROR(LEFT(Tabela1[[#This Row],[N°S]],LEN(Tabela1[[#This Row],[N°S]])-1),"")</f>
        <v/>
      </c>
      <c r="E82" s="1" t="str" cm="1">
        <f t="array" ref="E82">IFERROR(time_diff_cor(Tabela1[[#This Row],[Largada]],Tabela1[[#This Row],[Chegada]]),"00:20:00:000")</f>
        <v>00:20:00:000</v>
      </c>
      <c r="G82" s="1" t="str" cm="1">
        <f t="array" ref="G82">IF(Tabela1[[#This Row],[N°S]]="","NONE",IF(Tabela1[[#This Row],[N°]]=D81,time_sum(G81,Tabela1[[#This Row],[TEMPO]]),Tabela1[[#This Row],[TEMPO]]))</f>
        <v>NONE</v>
      </c>
      <c r="I82" s="1" t="e">
        <f>VLOOKUP(C82,LARGADA!A:B,2,FALSE)</f>
        <v>#N/A</v>
      </c>
      <c r="J82" s="1" t="e">
        <f>VLOOKUP(C82,CHEGADA!A:B,2,FALSE)</f>
        <v>#N/A</v>
      </c>
    </row>
    <row r="83" spans="4:10">
      <c r="D83" s="2" t="str">
        <f>IFERROR(LEFT(Tabela1[[#This Row],[N°S]],LEN(Tabela1[[#This Row],[N°S]])-1),"")</f>
        <v/>
      </c>
      <c r="E83" s="1" t="str" cm="1">
        <f t="array" ref="E83">IFERROR(time_diff_cor(Tabela1[[#This Row],[Largada]],Tabela1[[#This Row],[Chegada]]),"00:20:00:000")</f>
        <v>00:20:00:000</v>
      </c>
      <c r="G83" s="1" t="str" cm="1">
        <f t="array" ref="G83">IF(Tabela1[[#This Row],[N°S]]="","NONE",IF(Tabela1[[#This Row],[N°]]=D82,time_sum(G82,Tabela1[[#This Row],[TEMPO]]),Tabela1[[#This Row],[TEMPO]]))</f>
        <v>NONE</v>
      </c>
      <c r="I83" s="1" t="e">
        <f>VLOOKUP(C83,LARGADA!A:B,2,FALSE)</f>
        <v>#N/A</v>
      </c>
      <c r="J83" s="1" t="e">
        <f>VLOOKUP(C83,CHEGADA!A:B,2,FALSE)</f>
        <v>#N/A</v>
      </c>
    </row>
    <row r="84" spans="4:10">
      <c r="D84" s="2" t="str">
        <f>IFERROR(LEFT(Tabela1[[#This Row],[N°S]],LEN(Tabela1[[#This Row],[N°S]])-1),"")</f>
        <v/>
      </c>
      <c r="E84" s="1" t="str" cm="1">
        <f t="array" ref="E84">IFERROR(time_diff_cor(Tabela1[[#This Row],[Largada]],Tabela1[[#This Row],[Chegada]]),"00:20:00:000")</f>
        <v>00:20:00:000</v>
      </c>
      <c r="G84" s="1" t="str" cm="1">
        <f t="array" ref="G84">IF(Tabela1[[#This Row],[N°S]]="","NONE",IF(Tabela1[[#This Row],[N°]]=D83,time_sum(G83,Tabela1[[#This Row],[TEMPO]]),Tabela1[[#This Row],[TEMPO]]))</f>
        <v>NONE</v>
      </c>
      <c r="I84" s="1" t="e">
        <f>VLOOKUP(C84,LARGADA!A:B,2,FALSE)</f>
        <v>#N/A</v>
      </c>
      <c r="J84" s="1" t="e">
        <f>VLOOKUP(C84,CHEGADA!A:B,2,FALSE)</f>
        <v>#N/A</v>
      </c>
    </row>
    <row r="85" spans="4:10">
      <c r="D85" s="2" t="str">
        <f>IFERROR(LEFT(Tabela1[[#This Row],[N°S]],LEN(Tabela1[[#This Row],[N°S]])-1),"")</f>
        <v/>
      </c>
      <c r="E85" s="1" t="str" cm="1">
        <f t="array" ref="E85">IFERROR(time_diff_cor(Tabela1[[#This Row],[Largada]],Tabela1[[#This Row],[Chegada]]),"00:20:00:000")</f>
        <v>00:20:00:000</v>
      </c>
      <c r="G85" s="1" t="str" cm="1">
        <f t="array" ref="G85">IF(Tabela1[[#This Row],[N°S]]="","NONE",IF(Tabela1[[#This Row],[N°]]=D84,time_sum(G84,Tabela1[[#This Row],[TEMPO]]),Tabela1[[#This Row],[TEMPO]]))</f>
        <v>NONE</v>
      </c>
      <c r="I85" s="1" t="e">
        <f>VLOOKUP(C85,LARGADA!A:B,2,FALSE)</f>
        <v>#N/A</v>
      </c>
      <c r="J85" s="1" t="e">
        <f>VLOOKUP(C85,CHEGADA!A:B,2,FALSE)</f>
        <v>#N/A</v>
      </c>
    </row>
    <row r="86" spans="4:10">
      <c r="D86" s="2" t="str">
        <f>IFERROR(LEFT(Tabela1[[#This Row],[N°S]],LEN(Tabela1[[#This Row],[N°S]])-1),"")</f>
        <v/>
      </c>
      <c r="E86" s="1" t="str" cm="1">
        <f t="array" ref="E86">IFERROR(time_diff_cor(Tabela1[[#This Row],[Largada]],Tabela1[[#This Row],[Chegada]]),"00:20:00:000")</f>
        <v>00:20:00:000</v>
      </c>
      <c r="G86" s="1" t="str" cm="1">
        <f t="array" ref="G86">IF(Tabela1[[#This Row],[N°S]]="","NONE",IF(Tabela1[[#This Row],[N°]]=D85,time_sum(G85,Tabela1[[#This Row],[TEMPO]]),Tabela1[[#This Row],[TEMPO]]))</f>
        <v>NONE</v>
      </c>
      <c r="I86" s="1" t="e">
        <f>VLOOKUP(C86,LARGADA!A:B,2,FALSE)</f>
        <v>#N/A</v>
      </c>
      <c r="J86" s="1" t="e">
        <f>VLOOKUP(C86,CHEGADA!A:B,2,FALSE)</f>
        <v>#N/A</v>
      </c>
    </row>
    <row r="87" spans="4:10">
      <c r="D87" s="2" t="str">
        <f>IFERROR(LEFT(Tabela1[[#This Row],[N°S]],LEN(Tabela1[[#This Row],[N°S]])-1),"")</f>
        <v/>
      </c>
      <c r="E87" s="1" t="str" cm="1">
        <f t="array" ref="E87">IFERROR(time_diff_cor(Tabela1[[#This Row],[Largada]],Tabela1[[#This Row],[Chegada]]),"00:20:00:000")</f>
        <v>00:20:00:000</v>
      </c>
      <c r="G87" s="1" t="str" cm="1">
        <f t="array" ref="G87">IF(Tabela1[[#This Row],[N°S]]="","NONE",IF(Tabela1[[#This Row],[N°]]=D86,time_sum(G86,Tabela1[[#This Row],[TEMPO]]),Tabela1[[#This Row],[TEMPO]]))</f>
        <v>NONE</v>
      </c>
      <c r="I87" s="1" t="e">
        <f>VLOOKUP(C87,LARGADA!A:B,2,FALSE)</f>
        <v>#N/A</v>
      </c>
      <c r="J87" s="1" t="e">
        <f>VLOOKUP(C87,CHEGADA!A:B,2,FALSE)</f>
        <v>#N/A</v>
      </c>
    </row>
    <row r="88" spans="4:10">
      <c r="D88" s="2" t="str">
        <f>IFERROR(LEFT(Tabela1[[#This Row],[N°S]],LEN(Tabela1[[#This Row],[N°S]])-1),"")</f>
        <v/>
      </c>
      <c r="E88" s="1" t="str" cm="1">
        <f t="array" ref="E88">IFERROR(time_diff_cor(Tabela1[[#This Row],[Largada]],Tabela1[[#This Row],[Chegada]]),"00:20:00:000")</f>
        <v>00:20:00:000</v>
      </c>
      <c r="G88" s="1" t="str" cm="1">
        <f t="array" ref="G88">IF(Tabela1[[#This Row],[N°S]]="","NONE",IF(Tabela1[[#This Row],[N°]]=D87,time_sum(G87,Tabela1[[#This Row],[TEMPO]]),Tabela1[[#This Row],[TEMPO]]))</f>
        <v>NONE</v>
      </c>
      <c r="I88" s="1" t="e">
        <f>VLOOKUP(C88,LARGADA!A:B,2,FALSE)</f>
        <v>#N/A</v>
      </c>
      <c r="J88" s="1" t="e">
        <f>VLOOKUP(C88,CHEGADA!A:B,2,FALSE)</f>
        <v>#N/A</v>
      </c>
    </row>
    <row r="89" spans="4:10">
      <c r="D89" s="2" t="str">
        <f>IFERROR(LEFT(Tabela1[[#This Row],[N°S]],LEN(Tabela1[[#This Row],[N°S]])-1),"")</f>
        <v/>
      </c>
      <c r="E89" s="1" t="str" cm="1">
        <f t="array" ref="E89">IFERROR(time_diff_cor(Tabela1[[#This Row],[Largada]],Tabela1[[#This Row],[Chegada]]),"00:20:00:000")</f>
        <v>00:20:00:000</v>
      </c>
      <c r="G89" s="1" t="str" cm="1">
        <f t="array" ref="G89">IF(Tabela1[[#This Row],[N°S]]="","NONE",IF(Tabela1[[#This Row],[N°]]=D88,time_sum(G88,Tabela1[[#This Row],[TEMPO]]),Tabela1[[#This Row],[TEMPO]]))</f>
        <v>NONE</v>
      </c>
      <c r="I89" s="1" t="e">
        <f>VLOOKUP(C89,LARGADA!A:B,2,FALSE)</f>
        <v>#N/A</v>
      </c>
      <c r="J89" s="1" t="e">
        <f>VLOOKUP(C89,CHEGADA!A:B,2,FALSE)</f>
        <v>#N/A</v>
      </c>
    </row>
    <row r="90" spans="4:10">
      <c r="D90" s="2" t="str">
        <f>IFERROR(LEFT(Tabela1[[#This Row],[N°S]],LEN(Tabela1[[#This Row],[N°S]])-1),"")</f>
        <v/>
      </c>
      <c r="E90" s="1" t="str" cm="1">
        <f t="array" ref="E90">IFERROR(time_diff_cor(Tabela1[[#This Row],[Largada]],Tabela1[[#This Row],[Chegada]]),"00:20:00:000")</f>
        <v>00:20:00:000</v>
      </c>
      <c r="G90" s="1" t="str" cm="1">
        <f t="array" ref="G90">IF(Tabela1[[#This Row],[N°S]]="","NONE",IF(Tabela1[[#This Row],[N°]]=D89,time_sum(G89,Tabela1[[#This Row],[TEMPO]]),Tabela1[[#This Row],[TEMPO]]))</f>
        <v>NONE</v>
      </c>
      <c r="I90" s="1" t="e">
        <f>VLOOKUP(C90,LARGADA!A:B,2,FALSE)</f>
        <v>#N/A</v>
      </c>
      <c r="J90" s="1" t="e">
        <f>VLOOKUP(C90,CHEGADA!A:B,2,FALSE)</f>
        <v>#N/A</v>
      </c>
    </row>
    <row r="91" spans="4:10">
      <c r="D91" s="2" t="str">
        <f>IFERROR(LEFT(Tabela1[[#This Row],[N°S]],LEN(Tabela1[[#This Row],[N°S]])-1),"")</f>
        <v/>
      </c>
      <c r="E91" s="1" t="str" cm="1">
        <f t="array" ref="E91">IFERROR(time_diff_cor(Tabela1[[#This Row],[Largada]],Tabela1[[#This Row],[Chegada]]),"00:20:00:000")</f>
        <v>00:20:00:000</v>
      </c>
      <c r="G91" s="1" t="str" cm="1">
        <f t="array" ref="G91">IF(Tabela1[[#This Row],[N°S]]="","NONE",IF(Tabela1[[#This Row],[N°]]=D90,time_sum(G90,Tabela1[[#This Row],[TEMPO]]),Tabela1[[#This Row],[TEMPO]]))</f>
        <v>NONE</v>
      </c>
      <c r="I91" s="1" t="e">
        <f>VLOOKUP(C91,LARGADA!A:B,2,FALSE)</f>
        <v>#N/A</v>
      </c>
      <c r="J91" s="1" t="e">
        <f>VLOOKUP(C91,CHEGADA!A:B,2,FALSE)</f>
        <v>#N/A</v>
      </c>
    </row>
    <row r="92" spans="4:10">
      <c r="D92" s="2" t="str">
        <f>IFERROR(LEFT(Tabela1[[#This Row],[N°S]],LEN(Tabela1[[#This Row],[N°S]])-1),"")</f>
        <v/>
      </c>
      <c r="E92" s="1" t="str" cm="1">
        <f t="array" ref="E92">IFERROR(time_diff_cor(Tabela1[[#This Row],[Largada]],Tabela1[[#This Row],[Chegada]]),"00:20:00:000")</f>
        <v>00:20:00:000</v>
      </c>
      <c r="G92" s="1" t="str" cm="1">
        <f t="array" ref="G92">IF(Tabela1[[#This Row],[N°S]]="","NONE",IF(Tabela1[[#This Row],[N°]]=D91,time_sum(G91,Tabela1[[#This Row],[TEMPO]]),Tabela1[[#This Row],[TEMPO]]))</f>
        <v>NONE</v>
      </c>
      <c r="I92" s="1" t="e">
        <f>VLOOKUP(C92,LARGADA!A:B,2,FALSE)</f>
        <v>#N/A</v>
      </c>
      <c r="J92" s="1" t="e">
        <f>VLOOKUP(C92,CHEGADA!A:B,2,FALSE)</f>
        <v>#N/A</v>
      </c>
    </row>
    <row r="93" spans="4:10">
      <c r="D93" s="2" t="str">
        <f>IFERROR(LEFT(Tabela1[[#This Row],[N°S]],LEN(Tabela1[[#This Row],[N°S]])-1),"")</f>
        <v/>
      </c>
      <c r="E93" s="1" t="str" cm="1">
        <f t="array" ref="E93">IFERROR(time_diff_cor(Tabela1[[#This Row],[Largada]],Tabela1[[#This Row],[Chegada]]),"00:20:00:000")</f>
        <v>00:20:00:000</v>
      </c>
      <c r="G93" s="1" t="str" cm="1">
        <f t="array" ref="G93">IF(Tabela1[[#This Row],[N°S]]="","NONE",IF(Tabela1[[#This Row],[N°]]=D92,time_sum(G92,Tabela1[[#This Row],[TEMPO]]),Tabela1[[#This Row],[TEMPO]]))</f>
        <v>NONE</v>
      </c>
      <c r="I93" s="1" t="e">
        <f>VLOOKUP(C93,LARGADA!A:B,2,FALSE)</f>
        <v>#N/A</v>
      </c>
      <c r="J93" s="1" t="e">
        <f>VLOOKUP(C93,CHEGADA!A:B,2,FALSE)</f>
        <v>#N/A</v>
      </c>
    </row>
    <row r="94" spans="4:10">
      <c r="D94" s="2" t="str">
        <f>IFERROR(LEFT(Tabela1[[#This Row],[N°S]],LEN(Tabela1[[#This Row],[N°S]])-1),"")</f>
        <v/>
      </c>
      <c r="E94" s="1" t="str" cm="1">
        <f t="array" ref="E94">IFERROR(time_diff_cor(Tabela1[[#This Row],[Largada]],Tabela1[[#This Row],[Chegada]]),"00:20:00:000")</f>
        <v>00:20:00:000</v>
      </c>
      <c r="G94" s="1" t="str" cm="1">
        <f t="array" ref="G94">IF(Tabela1[[#This Row],[N°S]]="","NONE",IF(Tabela1[[#This Row],[N°]]=D93,time_sum(G93,Tabela1[[#This Row],[TEMPO]]),Tabela1[[#This Row],[TEMPO]]))</f>
        <v>NONE</v>
      </c>
      <c r="I94" s="1" t="e">
        <f>VLOOKUP(C94,LARGADA!A:B,2,FALSE)</f>
        <v>#N/A</v>
      </c>
      <c r="J94" s="1" t="e">
        <f>VLOOKUP(C94,CHEGADA!A:B,2,FALSE)</f>
        <v>#N/A</v>
      </c>
    </row>
    <row r="95" spans="4:10">
      <c r="D95" s="2" t="str">
        <f>IFERROR(LEFT(Tabela1[[#This Row],[N°S]],LEN(Tabela1[[#This Row],[N°S]])-1),"")</f>
        <v/>
      </c>
      <c r="E95" s="1" t="str" cm="1">
        <f t="array" ref="E95">IFERROR(time_diff_cor(Tabela1[[#This Row],[Largada]],Tabela1[[#This Row],[Chegada]]),"00:20:00:000")</f>
        <v>00:20:00:000</v>
      </c>
      <c r="G95" s="1" t="str" cm="1">
        <f t="array" ref="G95">IF(Tabela1[[#This Row],[N°S]]="","NONE",IF(Tabela1[[#This Row],[N°]]=D94,time_sum(G94,Tabela1[[#This Row],[TEMPO]]),Tabela1[[#This Row],[TEMPO]]))</f>
        <v>NONE</v>
      </c>
      <c r="I95" s="1" t="e">
        <f>VLOOKUP(C95,LARGADA!A:B,2,FALSE)</f>
        <v>#N/A</v>
      </c>
      <c r="J95" s="1" t="e">
        <f>VLOOKUP(C95,CHEGADA!A:B,2,FALSE)</f>
        <v>#N/A</v>
      </c>
    </row>
    <row r="96" spans="4:10">
      <c r="D96" s="2" t="str">
        <f>IFERROR(LEFT(Tabela1[[#This Row],[N°S]],LEN(Tabela1[[#This Row],[N°S]])-1),"")</f>
        <v/>
      </c>
      <c r="E96" s="1" t="str" cm="1">
        <f t="array" ref="E96">IFERROR(time_diff_cor(Tabela1[[#This Row],[Largada]],Tabela1[[#This Row],[Chegada]]),"00:20:00:000")</f>
        <v>00:20:00:000</v>
      </c>
      <c r="G96" s="1" t="str" cm="1">
        <f t="array" ref="G96">IF(Tabela1[[#This Row],[N°S]]="","NONE",IF(Tabela1[[#This Row],[N°]]=D95,time_sum(G95,Tabela1[[#This Row],[TEMPO]]),Tabela1[[#This Row],[TEMPO]]))</f>
        <v>NONE</v>
      </c>
      <c r="I96" s="1" t="e">
        <f>VLOOKUP(C96,LARGADA!A:B,2,FALSE)</f>
        <v>#N/A</v>
      </c>
      <c r="J96" s="1" t="e">
        <f>VLOOKUP(C96,CHEGADA!A:B,2,FALSE)</f>
        <v>#N/A</v>
      </c>
    </row>
    <row r="97" spans="4:10">
      <c r="D97" s="2" t="str">
        <f>IFERROR(LEFT(Tabela1[[#This Row],[N°S]],LEN(Tabela1[[#This Row],[N°S]])-1),"")</f>
        <v/>
      </c>
      <c r="E97" s="1" t="str" cm="1">
        <f t="array" ref="E97">IFERROR(time_diff_cor(Tabela1[[#This Row],[Largada]],Tabela1[[#This Row],[Chegada]]),"00:20:00:000")</f>
        <v>00:20:00:000</v>
      </c>
      <c r="G97" s="1" t="str" cm="1">
        <f t="array" ref="G97">IF(Tabela1[[#This Row],[N°S]]="","NONE",IF(Tabela1[[#This Row],[N°]]=D96,time_sum(G96,Tabela1[[#This Row],[TEMPO]]),Tabela1[[#This Row],[TEMPO]]))</f>
        <v>NONE</v>
      </c>
      <c r="I97" s="1" t="e">
        <f>VLOOKUP(C97,LARGADA!A:B,2,FALSE)</f>
        <v>#N/A</v>
      </c>
      <c r="J97" s="1" t="e">
        <f>VLOOKUP(C97,CHEGADA!A:B,2,FALSE)</f>
        <v>#N/A</v>
      </c>
    </row>
    <row r="98" spans="4:10">
      <c r="D98" s="2" t="str">
        <f>IFERROR(LEFT(Tabela1[[#This Row],[N°S]],LEN(Tabela1[[#This Row],[N°S]])-1),"")</f>
        <v/>
      </c>
      <c r="E98" s="1" t="str" cm="1">
        <f t="array" ref="E98">IFERROR(time_diff_cor(Tabela1[[#This Row],[Largada]],Tabela1[[#This Row],[Chegada]]),"00:20:00:000")</f>
        <v>00:20:00:000</v>
      </c>
      <c r="G98" s="1" t="str" cm="1">
        <f t="array" ref="G98">IF(Tabela1[[#This Row],[N°S]]="","NONE",IF(Tabela1[[#This Row],[N°]]=D97,time_sum(G97,Tabela1[[#This Row],[TEMPO]]),Tabela1[[#This Row],[TEMPO]]))</f>
        <v>NONE</v>
      </c>
      <c r="I98" s="1" t="e">
        <f>VLOOKUP(C98,LARGADA!A:B,2,FALSE)</f>
        <v>#N/A</v>
      </c>
      <c r="J98" s="1" t="e">
        <f>VLOOKUP(C98,CHEGADA!A:B,2,FALSE)</f>
        <v>#N/A</v>
      </c>
    </row>
    <row r="99" spans="4:10">
      <c r="D99" s="2" t="str">
        <f>IFERROR(LEFT(Tabela1[[#This Row],[N°S]],LEN(Tabela1[[#This Row],[N°S]])-1),"")</f>
        <v/>
      </c>
      <c r="E99" s="1" t="str" cm="1">
        <f t="array" ref="E99">IFERROR(time_diff_cor(Tabela1[[#This Row],[Largada]],Tabela1[[#This Row],[Chegada]]),"00:20:00:000")</f>
        <v>00:20:00:000</v>
      </c>
      <c r="G99" s="1" t="str" cm="1">
        <f t="array" ref="G99">IF(Tabela1[[#This Row],[N°S]]="","NONE",IF(Tabela1[[#This Row],[N°]]=D98,time_sum(G98,Tabela1[[#This Row],[TEMPO]]),Tabela1[[#This Row],[TEMPO]]))</f>
        <v>NONE</v>
      </c>
      <c r="I99" s="1" t="e">
        <f>VLOOKUP(C99,LARGADA!A:B,2,FALSE)</f>
        <v>#N/A</v>
      </c>
      <c r="J99" s="1" t="e">
        <f>VLOOKUP(C99,CHEGADA!A:B,2,FALSE)</f>
        <v>#N/A</v>
      </c>
    </row>
    <row r="100" spans="4:10">
      <c r="D100" s="2" t="str">
        <f>IFERROR(LEFT(Tabela1[[#This Row],[N°S]],LEN(Tabela1[[#This Row],[N°S]])-1),"")</f>
        <v/>
      </c>
      <c r="E100" s="1" t="str" cm="1">
        <f t="array" ref="E100">IFERROR(time_diff_cor(Tabela1[[#This Row],[Largada]],Tabela1[[#This Row],[Chegada]]),"00:20:00:000")</f>
        <v>00:20:00:000</v>
      </c>
      <c r="G100" s="1" t="str" cm="1">
        <f t="array" ref="G100">IF(Tabela1[[#This Row],[N°S]]="","NONE",IF(Tabela1[[#This Row],[N°]]=D99,time_sum(G99,Tabela1[[#This Row],[TEMPO]]),Tabela1[[#This Row],[TEMPO]]))</f>
        <v>NONE</v>
      </c>
      <c r="I100" s="1" t="e">
        <f>VLOOKUP(C100,LARGADA!A:B,2,FALSE)</f>
        <v>#N/A</v>
      </c>
      <c r="J100" s="1" t="e">
        <f>VLOOKUP(C100,CHEGADA!A:B,2,FALSE)</f>
        <v>#N/A</v>
      </c>
    </row>
    <row r="101" spans="4:10">
      <c r="D101" s="2" t="str">
        <f>IFERROR(LEFT(Tabela1[[#This Row],[N°S]],LEN(Tabela1[[#This Row],[N°S]])-1),"")</f>
        <v/>
      </c>
      <c r="E101" s="1" t="str" cm="1">
        <f t="array" ref="E101">IFERROR(time_diff_cor(Tabela1[[#This Row],[Largada]],Tabela1[[#This Row],[Chegada]]),"00:20:00:000")</f>
        <v>00:20:00:000</v>
      </c>
      <c r="G101" s="1" t="str" cm="1">
        <f t="array" ref="G101">IF(Tabela1[[#This Row],[N°S]]="","NONE",IF(Tabela1[[#This Row],[N°]]=D100,time_sum(G100,Tabela1[[#This Row],[TEMPO]]),Tabela1[[#This Row],[TEMPO]]))</f>
        <v>NONE</v>
      </c>
      <c r="I101" s="1" t="e">
        <f>VLOOKUP(C101,LARGADA!A:B,2,FALSE)</f>
        <v>#N/A</v>
      </c>
      <c r="J101" s="1" t="e">
        <f>VLOOKUP(C101,CHEGADA!A:B,2,FALSE)</f>
        <v>#N/A</v>
      </c>
    </row>
    <row r="102" spans="4:10">
      <c r="D102" s="2" t="str">
        <f>IFERROR(LEFT(Tabela1[[#This Row],[N°S]],LEN(Tabela1[[#This Row],[N°S]])-1),"")</f>
        <v/>
      </c>
      <c r="E102" s="1" t="str" cm="1">
        <f t="array" ref="E102">IFERROR(time_diff_cor(Tabela1[[#This Row],[Largada]],Tabela1[[#This Row],[Chegada]]),"00:20:00:000")</f>
        <v>00:20:00:000</v>
      </c>
      <c r="G102" s="1" t="str" cm="1">
        <f t="array" ref="G102">IF(Tabela1[[#This Row],[N°S]]="","NONE",IF(Tabela1[[#This Row],[N°]]=D101,time_sum(G101,Tabela1[[#This Row],[TEMPO]]),Tabela1[[#This Row],[TEMPO]]))</f>
        <v>NONE</v>
      </c>
      <c r="I102" s="1" t="e">
        <f>VLOOKUP(C102,LARGADA!A:B,2,FALSE)</f>
        <v>#N/A</v>
      </c>
      <c r="J102" s="1" t="e">
        <f>VLOOKUP(C102,CHEGADA!A:B,2,FALSE)</f>
        <v>#N/A</v>
      </c>
    </row>
    <row r="103" spans="4:10">
      <c r="D103" s="2" t="str">
        <f>IFERROR(LEFT(Tabela1[[#This Row],[N°S]],LEN(Tabela1[[#This Row],[N°S]])-1),"")</f>
        <v/>
      </c>
      <c r="E103" s="1" t="str" cm="1">
        <f t="array" ref="E103">IFERROR(time_diff_cor(Tabela1[[#This Row],[Largada]],Tabela1[[#This Row],[Chegada]]),"00:20:00:000")</f>
        <v>00:20:00:000</v>
      </c>
      <c r="G103" s="1" t="str" cm="1">
        <f t="array" ref="G103">IF(Tabela1[[#This Row],[N°S]]="","NONE",IF(Tabela1[[#This Row],[N°]]=D102,time_sum(G102,Tabela1[[#This Row],[TEMPO]]),Tabela1[[#This Row],[TEMPO]]))</f>
        <v>NONE</v>
      </c>
      <c r="I103" s="1" t="e">
        <f>VLOOKUP(C103,LARGADA!A:B,2,FALSE)</f>
        <v>#N/A</v>
      </c>
      <c r="J103" s="1" t="e">
        <f>VLOOKUP(C103,CHEGADA!A:B,2,FALSE)</f>
        <v>#N/A</v>
      </c>
    </row>
    <row r="104" spans="4:10">
      <c r="D104" s="2" t="str">
        <f>IFERROR(LEFT(Tabela1[[#This Row],[N°S]],LEN(Tabela1[[#This Row],[N°S]])-1),"")</f>
        <v/>
      </c>
      <c r="E104" s="1" t="str" cm="1">
        <f t="array" ref="E104">IFERROR(time_diff_cor(Tabela1[[#This Row],[Largada]],Tabela1[[#This Row],[Chegada]]),"00:20:00:000")</f>
        <v>00:20:00:000</v>
      </c>
      <c r="G104" s="1" t="str" cm="1">
        <f t="array" ref="G104">IF(Tabela1[[#This Row],[N°S]]="","NONE",IF(Tabela1[[#This Row],[N°]]=D103,time_sum(G103,Tabela1[[#This Row],[TEMPO]]),Tabela1[[#This Row],[TEMPO]]))</f>
        <v>NONE</v>
      </c>
      <c r="I104" s="1" t="e">
        <f>VLOOKUP(C104,LARGADA!A:B,2,FALSE)</f>
        <v>#N/A</v>
      </c>
      <c r="J104" s="1" t="e">
        <f>VLOOKUP(C104,CHEGADA!A:B,2,FALSE)</f>
        <v>#N/A</v>
      </c>
    </row>
    <row r="105" spans="4:10">
      <c r="D105" s="2" t="str">
        <f>IFERROR(LEFT(Tabela1[[#This Row],[N°S]],LEN(Tabela1[[#This Row],[N°S]])-1),"")</f>
        <v/>
      </c>
      <c r="E105" s="1" t="str" cm="1">
        <f t="array" ref="E105">IFERROR(time_diff_cor(Tabela1[[#This Row],[Largada]],Tabela1[[#This Row],[Chegada]]),"00:20:00:000")</f>
        <v>00:20:00:000</v>
      </c>
      <c r="G105" s="1" t="str" cm="1">
        <f t="array" ref="G105">IF(Tabela1[[#This Row],[N°S]]="","NONE",IF(Tabela1[[#This Row],[N°]]=D104,time_sum(G104,Tabela1[[#This Row],[TEMPO]]),Tabela1[[#This Row],[TEMPO]]))</f>
        <v>NONE</v>
      </c>
      <c r="I105" s="1" t="e">
        <f>VLOOKUP(C105,LARGADA!A:B,2,FALSE)</f>
        <v>#N/A</v>
      </c>
      <c r="J105" s="1" t="e">
        <f>VLOOKUP(C105,CHEGADA!A:B,2,FALSE)</f>
        <v>#N/A</v>
      </c>
    </row>
    <row r="106" spans="4:10">
      <c r="D106" s="2" t="str">
        <f>IFERROR(LEFT(Tabela1[[#This Row],[N°S]],LEN(Tabela1[[#This Row],[N°S]])-1),"")</f>
        <v/>
      </c>
      <c r="E106" s="1" t="str" cm="1">
        <f t="array" ref="E106">IFERROR(time_diff_cor(Tabela1[[#This Row],[Largada]],Tabela1[[#This Row],[Chegada]]),"00:20:00:000")</f>
        <v>00:20:00:000</v>
      </c>
      <c r="G106" s="1" t="str" cm="1">
        <f t="array" ref="G106">IF(Tabela1[[#This Row],[N°S]]="","NONE",IF(Tabela1[[#This Row],[N°]]=D105,time_sum(G105,Tabela1[[#This Row],[TEMPO]]),Tabela1[[#This Row],[TEMPO]]))</f>
        <v>NONE</v>
      </c>
      <c r="I106" s="1" t="e">
        <f>VLOOKUP(C106,LARGADA!A:B,2,FALSE)</f>
        <v>#N/A</v>
      </c>
      <c r="J106" s="1" t="e">
        <f>VLOOKUP(C106,CHEGADA!A:B,2,FALSE)</f>
        <v>#N/A</v>
      </c>
    </row>
    <row r="107" spans="4:10">
      <c r="D107" s="2" t="str">
        <f>IFERROR(LEFT(Tabela1[[#This Row],[N°S]],LEN(Tabela1[[#This Row],[N°S]])-1),"")</f>
        <v/>
      </c>
      <c r="E107" s="1" t="str" cm="1">
        <f t="array" ref="E107">IFERROR(time_diff_cor(Tabela1[[#This Row],[Largada]],Tabela1[[#This Row],[Chegada]]),"00:20:00:000")</f>
        <v>00:20:00:000</v>
      </c>
      <c r="G107" s="1" t="str" cm="1">
        <f t="array" ref="G107">IF(Tabela1[[#This Row],[N°S]]="","NONE",IF(Tabela1[[#This Row],[N°]]=D106,time_sum(G106,Tabela1[[#This Row],[TEMPO]]),Tabela1[[#This Row],[TEMPO]]))</f>
        <v>NONE</v>
      </c>
      <c r="I107" s="1" t="e">
        <f>VLOOKUP(C107,LARGADA!A:B,2,FALSE)</f>
        <v>#N/A</v>
      </c>
      <c r="J107" s="1" t="e">
        <f>VLOOKUP(C107,CHEGADA!A:B,2,FALSE)</f>
        <v>#N/A</v>
      </c>
    </row>
    <row r="108" spans="4:10">
      <c r="D108" s="2" t="str">
        <f>IFERROR(LEFT(Tabela1[[#This Row],[N°S]],LEN(Tabela1[[#This Row],[N°S]])-1),"")</f>
        <v/>
      </c>
      <c r="E108" s="1" t="str" cm="1">
        <f t="array" ref="E108">IFERROR(time_diff_cor(Tabela1[[#This Row],[Largada]],Tabela1[[#This Row],[Chegada]]),"00:20:00:000")</f>
        <v>00:20:00:000</v>
      </c>
      <c r="G108" s="1" t="str" cm="1">
        <f t="array" ref="G108">IF(Tabela1[[#This Row],[N°S]]="","NONE",IF(Tabela1[[#This Row],[N°]]=D107,time_sum(G107,Tabela1[[#This Row],[TEMPO]]),Tabela1[[#This Row],[TEMPO]]))</f>
        <v>NONE</v>
      </c>
      <c r="I108" s="1" t="e">
        <f>VLOOKUP(C108,LARGADA!A:B,2,FALSE)</f>
        <v>#N/A</v>
      </c>
      <c r="J108" s="1" t="e">
        <f>VLOOKUP(C108,CHEGADA!A:B,2,FALSE)</f>
        <v>#N/A</v>
      </c>
    </row>
    <row r="109" spans="4:10">
      <c r="D109" s="2" t="str">
        <f>IFERROR(LEFT(Tabela1[[#This Row],[N°S]],LEN(Tabela1[[#This Row],[N°S]])-1),"")</f>
        <v/>
      </c>
      <c r="E109" s="1" t="str" cm="1">
        <f t="array" ref="E109">IFERROR(time_diff_cor(Tabela1[[#This Row],[Largada]],Tabela1[[#This Row],[Chegada]]),"00:20:00:000")</f>
        <v>00:20:00:000</v>
      </c>
      <c r="G109" s="1" t="str" cm="1">
        <f t="array" ref="G109">IF(Tabela1[[#This Row],[N°S]]="","NONE",IF(Tabela1[[#This Row],[N°]]=D108,time_sum(G108,Tabela1[[#This Row],[TEMPO]]),Tabela1[[#This Row],[TEMPO]]))</f>
        <v>NONE</v>
      </c>
      <c r="I109" s="1" t="e">
        <f>VLOOKUP(C109,LARGADA!A:B,2,FALSE)</f>
        <v>#N/A</v>
      </c>
      <c r="J109" s="1" t="e">
        <f>VLOOKUP(C109,CHEGADA!A:B,2,FALSE)</f>
        <v>#N/A</v>
      </c>
    </row>
    <row r="110" spans="4:10">
      <c r="D110" s="2" t="str">
        <f>IFERROR(LEFT(Tabela1[[#This Row],[N°S]],LEN(Tabela1[[#This Row],[N°S]])-1),"")</f>
        <v/>
      </c>
      <c r="E110" s="1" t="str" cm="1">
        <f t="array" ref="E110">IFERROR(time_diff_cor(Tabela1[[#This Row],[Largada]],Tabela1[[#This Row],[Chegada]]),"00:20:00:000")</f>
        <v>00:20:00:000</v>
      </c>
      <c r="G110" s="1" t="str" cm="1">
        <f t="array" ref="G110">IF(Tabela1[[#This Row],[N°S]]="","NONE",IF(Tabela1[[#This Row],[N°]]=D109,time_sum(G109,Tabela1[[#This Row],[TEMPO]]),Tabela1[[#This Row],[TEMPO]]))</f>
        <v>NONE</v>
      </c>
      <c r="I110" s="1" t="e">
        <f>VLOOKUP(C110,LARGADA!A:B,2,FALSE)</f>
        <v>#N/A</v>
      </c>
      <c r="J110" s="1" t="e">
        <f>VLOOKUP(C110,CHEGADA!A:B,2,FALSE)</f>
        <v>#N/A</v>
      </c>
    </row>
    <row r="111" spans="4:10">
      <c r="D111" s="2" t="str">
        <f>IFERROR(LEFT(Tabela1[[#This Row],[N°S]],LEN(Tabela1[[#This Row],[N°S]])-1),"")</f>
        <v/>
      </c>
      <c r="E111" s="1" t="str" cm="1">
        <f t="array" ref="E111">IFERROR(time_diff_cor(Tabela1[[#This Row],[Largada]],Tabela1[[#This Row],[Chegada]]),"00:20:00:000")</f>
        <v>00:20:00:000</v>
      </c>
      <c r="G111" s="1" t="str" cm="1">
        <f t="array" ref="G111">IF(Tabela1[[#This Row],[N°S]]="","NONE",IF(Tabela1[[#This Row],[N°]]=D110,time_sum(G110,Tabela1[[#This Row],[TEMPO]]),Tabela1[[#This Row],[TEMPO]]))</f>
        <v>NONE</v>
      </c>
      <c r="I111" s="1" t="e">
        <f>VLOOKUP(C111,LARGADA!A:B,2,FALSE)</f>
        <v>#N/A</v>
      </c>
      <c r="J111" s="1" t="e">
        <f>VLOOKUP(C111,CHEGADA!A:B,2,FALSE)</f>
        <v>#N/A</v>
      </c>
    </row>
    <row r="112" spans="4:10">
      <c r="D112" s="2" t="str">
        <f>IFERROR(LEFT(Tabela1[[#This Row],[N°S]],LEN(Tabela1[[#This Row],[N°S]])-1),"")</f>
        <v/>
      </c>
      <c r="E112" s="1" t="str" cm="1">
        <f t="array" ref="E112">IFERROR(time_diff_cor(Tabela1[[#This Row],[Largada]],Tabela1[[#This Row],[Chegada]]),"00:20:00:000")</f>
        <v>00:20:00:000</v>
      </c>
      <c r="G112" s="1" t="str" cm="1">
        <f t="array" ref="G112">IF(Tabela1[[#This Row],[N°S]]="","NONE",IF(Tabela1[[#This Row],[N°]]=D111,time_sum(G111,Tabela1[[#This Row],[TEMPO]]),Tabela1[[#This Row],[TEMPO]]))</f>
        <v>NONE</v>
      </c>
      <c r="I112" s="1" t="e">
        <f>VLOOKUP(C112,LARGADA!A:B,2,FALSE)</f>
        <v>#N/A</v>
      </c>
      <c r="J112" s="1" t="e">
        <f>VLOOKUP(C112,CHEGADA!A:B,2,FALSE)</f>
        <v>#N/A</v>
      </c>
    </row>
    <row r="113" spans="4:10">
      <c r="D113" s="2" t="str">
        <f>IFERROR(LEFT(Tabela1[[#This Row],[N°S]],LEN(Tabela1[[#This Row],[N°S]])-1),"")</f>
        <v/>
      </c>
      <c r="E113" s="1" t="str" cm="1">
        <f t="array" ref="E113">IFERROR(time_diff_cor(Tabela1[[#This Row],[Largada]],Tabela1[[#This Row],[Chegada]]),"00:20:00:000")</f>
        <v>00:20:00:000</v>
      </c>
      <c r="G113" s="1" t="str" cm="1">
        <f t="array" ref="G113">IF(Tabela1[[#This Row],[N°S]]="","NONE",IF(Tabela1[[#This Row],[N°]]=D112,time_sum(G112,Tabela1[[#This Row],[TEMPO]]),Tabela1[[#This Row],[TEMPO]]))</f>
        <v>NONE</v>
      </c>
      <c r="I113" s="1" t="e">
        <f>VLOOKUP(C113,LARGADA!A:B,2,FALSE)</f>
        <v>#N/A</v>
      </c>
      <c r="J113" s="1" t="e">
        <f>VLOOKUP(C113,CHEGADA!A:B,2,FALSE)</f>
        <v>#N/A</v>
      </c>
    </row>
    <row r="114" spans="4:10">
      <c r="D114" s="2" t="str">
        <f>IFERROR(LEFT(Tabela1[[#This Row],[N°S]],LEN(Tabela1[[#This Row],[N°S]])-1),"")</f>
        <v/>
      </c>
      <c r="E114" s="1" t="str" cm="1">
        <f t="array" ref="E114">IFERROR(time_diff_cor(Tabela1[[#This Row],[Largada]],Tabela1[[#This Row],[Chegada]]),"00:20:00:000")</f>
        <v>00:20:00:000</v>
      </c>
      <c r="G114" s="1" t="str" cm="1">
        <f t="array" ref="G114">IF(Tabela1[[#This Row],[N°S]]="","NONE",IF(Tabela1[[#This Row],[N°]]=D113,time_sum(G113,Tabela1[[#This Row],[TEMPO]]),Tabela1[[#This Row],[TEMPO]]))</f>
        <v>NONE</v>
      </c>
      <c r="I114" s="1" t="e">
        <f>VLOOKUP(C114,LARGADA!A:B,2,FALSE)</f>
        <v>#N/A</v>
      </c>
      <c r="J114" s="1" t="e">
        <f>VLOOKUP(C114,CHEGADA!A:B,2,FALSE)</f>
        <v>#N/A</v>
      </c>
    </row>
    <row r="115" spans="4:10">
      <c r="D115" s="2" t="str">
        <f>IFERROR(LEFT(Tabela1[[#This Row],[N°S]],LEN(Tabela1[[#This Row],[N°S]])-1),"")</f>
        <v/>
      </c>
      <c r="E115" s="1" t="str" cm="1">
        <f t="array" ref="E115">IFERROR(time_diff_cor(Tabela1[[#This Row],[Largada]],Tabela1[[#This Row],[Chegada]]),"00:20:00:000")</f>
        <v>00:20:00:000</v>
      </c>
      <c r="G115" s="1" t="str" cm="1">
        <f t="array" ref="G115">IF(Tabela1[[#This Row],[N°S]]="","NONE",IF(Tabela1[[#This Row],[N°]]=D114,time_sum(G114,Tabela1[[#This Row],[TEMPO]]),Tabela1[[#This Row],[TEMPO]]))</f>
        <v>NONE</v>
      </c>
      <c r="I115" s="1" t="e">
        <f>VLOOKUP(C115,LARGADA!A:B,2,FALSE)</f>
        <v>#N/A</v>
      </c>
      <c r="J115" s="1" t="e">
        <f>VLOOKUP(C115,CHEGADA!A:B,2,FALSE)</f>
        <v>#N/A</v>
      </c>
    </row>
    <row r="116" spans="4:10">
      <c r="D116" s="2" t="str">
        <f>IFERROR(LEFT(Tabela1[[#This Row],[N°S]],LEN(Tabela1[[#This Row],[N°S]])-1),"")</f>
        <v/>
      </c>
      <c r="E116" s="1" t="str" cm="1">
        <f t="array" ref="E116">IFERROR(time_diff_cor(Tabela1[[#This Row],[Largada]],Tabela1[[#This Row],[Chegada]]),"00:20:00:000")</f>
        <v>00:20:00:000</v>
      </c>
      <c r="G116" s="1" t="str" cm="1">
        <f t="array" ref="G116">IF(Tabela1[[#This Row],[N°S]]="","NONE",IF(Tabela1[[#This Row],[N°]]=D115,time_sum(G115,Tabela1[[#This Row],[TEMPO]]),Tabela1[[#This Row],[TEMPO]]))</f>
        <v>NONE</v>
      </c>
      <c r="I116" s="1" t="e">
        <f>VLOOKUP(C116,LARGADA!A:B,2,FALSE)</f>
        <v>#N/A</v>
      </c>
      <c r="J116" s="1" t="e">
        <f>VLOOKUP(C116,CHEGADA!A:B,2,FALSE)</f>
        <v>#N/A</v>
      </c>
    </row>
    <row r="117" spans="4:10">
      <c r="D117" s="2" t="str">
        <f>IFERROR(LEFT(Tabela1[[#This Row],[N°S]],LEN(Tabela1[[#This Row],[N°S]])-1),"")</f>
        <v/>
      </c>
      <c r="E117" s="1" t="str" cm="1">
        <f t="array" ref="E117">IFERROR(time_diff_cor(Tabela1[[#This Row],[Largada]],Tabela1[[#This Row],[Chegada]]),"00:20:00:000")</f>
        <v>00:20:00:000</v>
      </c>
      <c r="G117" s="1" t="str" cm="1">
        <f t="array" ref="G117">IF(Tabela1[[#This Row],[N°S]]="","NONE",IF(Tabela1[[#This Row],[N°]]=D116,time_sum(G116,Tabela1[[#This Row],[TEMPO]]),Tabela1[[#This Row],[TEMPO]]))</f>
        <v>NONE</v>
      </c>
      <c r="I117" s="1" t="e">
        <f>VLOOKUP(C117,LARGADA!A:B,2,FALSE)</f>
        <v>#N/A</v>
      </c>
      <c r="J117" s="1" t="e">
        <f>VLOOKUP(C117,CHEGADA!A:B,2,FALSE)</f>
        <v>#N/A</v>
      </c>
    </row>
    <row r="118" spans="4:10">
      <c r="D118" s="2" t="str">
        <f>IFERROR(LEFT(Tabela1[[#This Row],[N°S]],LEN(Tabela1[[#This Row],[N°S]])-1),"")</f>
        <v/>
      </c>
      <c r="E118" s="1" t="str" cm="1">
        <f t="array" ref="E118">IFERROR(time_diff_cor(Tabela1[[#This Row],[Largada]],Tabela1[[#This Row],[Chegada]]),"00:20:00:000")</f>
        <v>00:20:00:000</v>
      </c>
      <c r="G118" s="1" t="str" cm="1">
        <f t="array" ref="G118">IF(Tabela1[[#This Row],[N°S]]="","NONE",IF(Tabela1[[#This Row],[N°]]=D117,time_sum(G117,Tabela1[[#This Row],[TEMPO]]),Tabela1[[#This Row],[TEMPO]]))</f>
        <v>NONE</v>
      </c>
      <c r="I118" s="1" t="e">
        <f>VLOOKUP(C118,LARGADA!A:B,2,FALSE)</f>
        <v>#N/A</v>
      </c>
      <c r="J118" s="1" t="e">
        <f>VLOOKUP(C118,CHEGADA!A:B,2,FALSE)</f>
        <v>#N/A</v>
      </c>
    </row>
    <row r="119" spans="4:10">
      <c r="D119" s="2" t="str">
        <f>IFERROR(LEFT(Tabela1[[#This Row],[N°S]],LEN(Tabela1[[#This Row],[N°S]])-1),"")</f>
        <v/>
      </c>
      <c r="E119" s="1" t="str" cm="1">
        <f t="array" ref="E119">IFERROR(time_diff_cor(Tabela1[[#This Row],[Largada]],Tabela1[[#This Row],[Chegada]]),"00:20:00:000")</f>
        <v>00:20:00:000</v>
      </c>
      <c r="G119" s="1" t="str" cm="1">
        <f t="array" ref="G119">IF(Tabela1[[#This Row],[N°S]]="","NONE",IF(Tabela1[[#This Row],[N°]]=D118,time_sum(G118,Tabela1[[#This Row],[TEMPO]]),Tabela1[[#This Row],[TEMPO]]))</f>
        <v>NONE</v>
      </c>
      <c r="I119" s="1" t="e">
        <f>VLOOKUP(C119,LARGADA!A:B,2,FALSE)</f>
        <v>#N/A</v>
      </c>
      <c r="J119" s="1" t="e">
        <f>VLOOKUP(C119,CHEGADA!A:B,2,FALSE)</f>
        <v>#N/A</v>
      </c>
    </row>
    <row r="120" spans="4:10">
      <c r="D120" s="2" t="str">
        <f>IFERROR(LEFT(Tabela1[[#This Row],[N°S]],LEN(Tabela1[[#This Row],[N°S]])-1),"")</f>
        <v/>
      </c>
      <c r="E120" s="1" t="str" cm="1">
        <f t="array" ref="E120">IFERROR(time_diff_cor(Tabela1[[#This Row],[Largada]],Tabela1[[#This Row],[Chegada]]),"00:20:00:000")</f>
        <v>00:20:00:000</v>
      </c>
      <c r="G120" s="1" t="str" cm="1">
        <f t="array" ref="G120">IF(Tabela1[[#This Row],[N°S]]="","NONE",IF(Tabela1[[#This Row],[N°]]=D119,time_sum(G119,Tabela1[[#This Row],[TEMPO]]),Tabela1[[#This Row],[TEMPO]]))</f>
        <v>NONE</v>
      </c>
      <c r="I120" s="1" t="e">
        <f>VLOOKUP(C120,LARGADA!A:B,2,FALSE)</f>
        <v>#N/A</v>
      </c>
      <c r="J120" s="1" t="e">
        <f>VLOOKUP(C120,CHEGADA!A:B,2,FALSE)</f>
        <v>#N/A</v>
      </c>
    </row>
    <row r="121" spans="4:10">
      <c r="D121" s="2" t="str">
        <f>IFERROR(LEFT(Tabela1[[#This Row],[N°S]],LEN(Tabela1[[#This Row],[N°S]])-1),"")</f>
        <v/>
      </c>
      <c r="E121" s="1" t="str" cm="1">
        <f t="array" ref="E121">IFERROR(time_diff_cor(Tabela1[[#This Row],[Largada]],Tabela1[[#This Row],[Chegada]]),"00:20:00:000")</f>
        <v>00:20:00:000</v>
      </c>
      <c r="G121" s="1" t="str" cm="1">
        <f t="array" ref="G121">IF(Tabela1[[#This Row],[N°S]]="","NONE",IF(Tabela1[[#This Row],[N°]]=D120,time_sum(G120,Tabela1[[#This Row],[TEMPO]]),Tabela1[[#This Row],[TEMPO]]))</f>
        <v>NONE</v>
      </c>
      <c r="I121" s="1" t="e">
        <f>VLOOKUP(C121,LARGADA!A:B,2,FALSE)</f>
        <v>#N/A</v>
      </c>
      <c r="J121" s="1" t="e">
        <f>VLOOKUP(C121,CHEGADA!A:B,2,FALSE)</f>
        <v>#N/A</v>
      </c>
    </row>
    <row r="122" spans="4:10">
      <c r="D122" s="2" t="str">
        <f>IFERROR(LEFT(Tabela1[[#This Row],[N°S]],LEN(Tabela1[[#This Row],[N°S]])-1),"")</f>
        <v/>
      </c>
      <c r="E122" s="1" t="str" cm="1">
        <f t="array" ref="E122">IFERROR(time_diff_cor(Tabela1[[#This Row],[Largada]],Tabela1[[#This Row],[Chegada]]),"00:20:00:000")</f>
        <v>00:20:00:000</v>
      </c>
      <c r="G122" s="1" t="str" cm="1">
        <f t="array" ref="G122">IF(Tabela1[[#This Row],[N°S]]="","NONE",IF(Tabela1[[#This Row],[N°]]=D121,time_sum(G121,Tabela1[[#This Row],[TEMPO]]),Tabela1[[#This Row],[TEMPO]]))</f>
        <v>NONE</v>
      </c>
      <c r="I122" s="1" t="e">
        <f>VLOOKUP(C122,LARGADA!A:B,2,FALSE)</f>
        <v>#N/A</v>
      </c>
      <c r="J122" s="1" t="e">
        <f>VLOOKUP(C122,CHEGADA!A:B,2,FALSE)</f>
        <v>#N/A</v>
      </c>
    </row>
    <row r="123" spans="4:10">
      <c r="D123" s="2" t="str">
        <f>IFERROR(LEFT(Tabela1[[#This Row],[N°S]],LEN(Tabela1[[#This Row],[N°S]])-1),"")</f>
        <v/>
      </c>
      <c r="E123" s="1" t="str" cm="1">
        <f t="array" ref="E123">IFERROR(time_diff_cor(Tabela1[[#This Row],[Largada]],Tabela1[[#This Row],[Chegada]]),"00:20:00:000")</f>
        <v>00:20:00:000</v>
      </c>
      <c r="G123" s="1" t="str" cm="1">
        <f t="array" ref="G123">IF(Tabela1[[#This Row],[N°S]]="","NONE",IF(Tabela1[[#This Row],[N°]]=D122,time_sum(G122,Tabela1[[#This Row],[TEMPO]]),Tabela1[[#This Row],[TEMPO]]))</f>
        <v>NONE</v>
      </c>
      <c r="I123" s="1" t="e">
        <f>VLOOKUP(C123,LARGADA!A:B,2,FALSE)</f>
        <v>#N/A</v>
      </c>
      <c r="J123" s="1" t="e">
        <f>VLOOKUP(C123,CHEGADA!A:B,2,FALSE)</f>
        <v>#N/A</v>
      </c>
    </row>
    <row r="124" spans="4:10">
      <c r="D124" s="2" t="str">
        <f>IFERROR(LEFT(Tabela1[[#This Row],[N°S]],LEN(Tabela1[[#This Row],[N°S]])-1),"")</f>
        <v/>
      </c>
      <c r="E124" s="1" t="str" cm="1">
        <f t="array" ref="E124">IFERROR(time_diff_cor(Tabela1[[#This Row],[Largada]],Tabela1[[#This Row],[Chegada]]),"00:20:00:000")</f>
        <v>00:20:00:000</v>
      </c>
      <c r="G124" s="1" t="str" cm="1">
        <f t="array" ref="G124">IF(Tabela1[[#This Row],[N°S]]="","NONE",IF(Tabela1[[#This Row],[N°]]=D123,time_sum(G123,Tabela1[[#This Row],[TEMPO]]),Tabela1[[#This Row],[TEMPO]]))</f>
        <v>NONE</v>
      </c>
      <c r="I124" s="1" t="e">
        <f>VLOOKUP(C124,LARGADA!A:B,2,FALSE)</f>
        <v>#N/A</v>
      </c>
      <c r="J124" s="1" t="e">
        <f>VLOOKUP(C124,CHEGADA!A:B,2,FALSE)</f>
        <v>#N/A</v>
      </c>
    </row>
    <row r="125" spans="4:10">
      <c r="D125" s="2" t="str">
        <f>IFERROR(LEFT(Tabela1[[#This Row],[N°S]],LEN(Tabela1[[#This Row],[N°S]])-1),"")</f>
        <v/>
      </c>
      <c r="E125" s="1" t="str" cm="1">
        <f t="array" ref="E125">IFERROR(time_diff_cor(Tabela1[[#This Row],[Largada]],Tabela1[[#This Row],[Chegada]]),"00:20:00:000")</f>
        <v>00:20:00:000</v>
      </c>
      <c r="G125" s="1" t="str" cm="1">
        <f t="array" ref="G125">IF(Tabela1[[#This Row],[N°S]]="","NONE",IF(Tabela1[[#This Row],[N°]]=D124,time_sum(G124,Tabela1[[#This Row],[TEMPO]]),Tabela1[[#This Row],[TEMPO]]))</f>
        <v>NONE</v>
      </c>
      <c r="I125" s="1" t="e">
        <f>VLOOKUP(C125,LARGADA!A:B,2,FALSE)</f>
        <v>#N/A</v>
      </c>
      <c r="J125" s="1" t="e">
        <f>VLOOKUP(C125,CHEGADA!A:B,2,FALSE)</f>
        <v>#N/A</v>
      </c>
    </row>
    <row r="126" spans="4:10">
      <c r="D126" s="2" t="str">
        <f>IFERROR(LEFT(Tabela1[[#This Row],[N°S]],LEN(Tabela1[[#This Row],[N°S]])-1),"")</f>
        <v/>
      </c>
      <c r="E126" s="1" t="str" cm="1">
        <f t="array" ref="E126">IFERROR(time_diff_cor(Tabela1[[#This Row],[Largada]],Tabela1[[#This Row],[Chegada]]),"00:20:00:000")</f>
        <v>00:20:00:000</v>
      </c>
      <c r="G126" s="1" t="str" cm="1">
        <f t="array" ref="G126">IF(Tabela1[[#This Row],[N°S]]="","NONE",IF(Tabela1[[#This Row],[N°]]=D125,time_sum(G125,Tabela1[[#This Row],[TEMPO]]),Tabela1[[#This Row],[TEMPO]]))</f>
        <v>NONE</v>
      </c>
      <c r="I126" s="1" t="e">
        <f>VLOOKUP(C126,LARGADA!A:B,2,FALSE)</f>
        <v>#N/A</v>
      </c>
      <c r="J126" s="1" t="e">
        <f>VLOOKUP(C126,CHEGADA!A:B,2,FALSE)</f>
        <v>#N/A</v>
      </c>
    </row>
    <row r="127" spans="4:10">
      <c r="D127" s="2" t="str">
        <f>IFERROR(LEFT(Tabela1[[#This Row],[N°S]],LEN(Tabela1[[#This Row],[N°S]])-1),"")</f>
        <v/>
      </c>
      <c r="E127" s="1" t="str" cm="1">
        <f t="array" ref="E127">IFERROR(time_diff_cor(Tabela1[[#This Row],[Largada]],Tabela1[[#This Row],[Chegada]]),"00:20:00:000")</f>
        <v>00:20:00:000</v>
      </c>
      <c r="G127" s="1" t="str" cm="1">
        <f t="array" ref="G127">IF(Tabela1[[#This Row],[N°S]]="","NONE",IF(Tabela1[[#This Row],[N°]]=D126,time_sum(G126,Tabela1[[#This Row],[TEMPO]]),Tabela1[[#This Row],[TEMPO]]))</f>
        <v>NONE</v>
      </c>
      <c r="I127" s="1" t="e">
        <f>VLOOKUP(C127,LARGADA!A:B,2,FALSE)</f>
        <v>#N/A</v>
      </c>
      <c r="J127" s="1" t="e">
        <f>VLOOKUP(C127,CHEGADA!A:B,2,FALSE)</f>
        <v>#N/A</v>
      </c>
    </row>
    <row r="128" spans="4:10">
      <c r="D128" s="2" t="str">
        <f>IFERROR(LEFT(Tabela1[[#This Row],[N°S]],LEN(Tabela1[[#This Row],[N°S]])-1),"")</f>
        <v/>
      </c>
      <c r="E128" s="1" t="str" cm="1">
        <f t="array" ref="E128">IFERROR(time_diff_cor(Tabela1[[#This Row],[Largada]],Tabela1[[#This Row],[Chegada]]),"00:20:00:000")</f>
        <v>00:20:00:000</v>
      </c>
      <c r="G128" s="1" t="str" cm="1">
        <f t="array" ref="G128">IF(Tabela1[[#This Row],[N°S]]="","NONE",IF(Tabela1[[#This Row],[N°]]=D127,time_sum(G127,Tabela1[[#This Row],[TEMPO]]),Tabela1[[#This Row],[TEMPO]]))</f>
        <v>NONE</v>
      </c>
      <c r="I128" s="1" t="e">
        <f>VLOOKUP(C128,LARGADA!A:B,2,FALSE)</f>
        <v>#N/A</v>
      </c>
      <c r="J128" s="1" t="e">
        <f>VLOOKUP(C128,CHEGADA!A:B,2,FALSE)</f>
        <v>#N/A</v>
      </c>
    </row>
    <row r="129" spans="4:10">
      <c r="D129" s="2" t="str">
        <f>IFERROR(LEFT(Tabela1[[#This Row],[N°S]],LEN(Tabela1[[#This Row],[N°S]])-1),"")</f>
        <v/>
      </c>
      <c r="E129" s="1" t="str" cm="1">
        <f t="array" ref="E129">IFERROR(time_diff_cor(Tabela1[[#This Row],[Largada]],Tabela1[[#This Row],[Chegada]]),"00:20:00:000")</f>
        <v>00:20:00:000</v>
      </c>
      <c r="G129" s="1" t="str" cm="1">
        <f t="array" ref="G129">IF(Tabela1[[#This Row],[N°S]]="","NONE",IF(Tabela1[[#This Row],[N°]]=D128,time_sum(G128,Tabela1[[#This Row],[TEMPO]]),Tabela1[[#This Row],[TEMPO]]))</f>
        <v>NONE</v>
      </c>
      <c r="I129" s="1" t="e">
        <f>VLOOKUP(C129,LARGADA!A:B,2,FALSE)</f>
        <v>#N/A</v>
      </c>
      <c r="J129" s="1" t="e">
        <f>VLOOKUP(C129,CHEGADA!A:B,2,FALSE)</f>
        <v>#N/A</v>
      </c>
    </row>
    <row r="130" spans="4:10">
      <c r="D130" s="2" t="str">
        <f>IFERROR(LEFT(Tabela1[[#This Row],[N°S]],LEN(Tabela1[[#This Row],[N°S]])-1),"")</f>
        <v/>
      </c>
      <c r="E130" s="1" t="str" cm="1">
        <f t="array" ref="E130">IFERROR(time_diff_cor(Tabela1[[#This Row],[Largada]],Tabela1[[#This Row],[Chegada]]),"00:20:00:000")</f>
        <v>00:20:00:000</v>
      </c>
      <c r="G130" s="1" t="str" cm="1">
        <f t="array" ref="G130">IF(Tabela1[[#This Row],[N°S]]="","NONE",IF(Tabela1[[#This Row],[N°]]=D129,time_sum(G129,Tabela1[[#This Row],[TEMPO]]),Tabela1[[#This Row],[TEMPO]]))</f>
        <v>NONE</v>
      </c>
      <c r="I130" s="1" t="e">
        <f>VLOOKUP(C130,LARGADA!A:B,2,FALSE)</f>
        <v>#N/A</v>
      </c>
      <c r="J130" s="1" t="e">
        <f>VLOOKUP(C130,CHEGADA!A:B,2,FALSE)</f>
        <v>#N/A</v>
      </c>
    </row>
    <row r="131" spans="4:10">
      <c r="D131" s="2" t="str">
        <f>IFERROR(LEFT(Tabela1[[#This Row],[N°S]],LEN(Tabela1[[#This Row],[N°S]])-1),"")</f>
        <v/>
      </c>
      <c r="E131" s="1" t="str" cm="1">
        <f t="array" ref="E131">IFERROR(time_diff_cor(Tabela1[[#This Row],[Largada]],Tabela1[[#This Row],[Chegada]]),"00:20:00:000")</f>
        <v>00:20:00:000</v>
      </c>
      <c r="G131" s="1" t="str" cm="1">
        <f t="array" ref="G131">IF(Tabela1[[#This Row],[N°S]]="","NONE",IF(Tabela1[[#This Row],[N°]]=D130,time_sum(G130,Tabela1[[#This Row],[TEMPO]]),Tabela1[[#This Row],[TEMPO]]))</f>
        <v>NONE</v>
      </c>
      <c r="I131" s="1" t="e">
        <f>VLOOKUP(C131,LARGADA!A:B,2,FALSE)</f>
        <v>#N/A</v>
      </c>
      <c r="J131" s="1" t="e">
        <f>VLOOKUP(C131,CHEGADA!A:B,2,FALSE)</f>
        <v>#N/A</v>
      </c>
    </row>
    <row r="132" spans="4:10">
      <c r="D132" s="2" t="str">
        <f>IFERROR(LEFT(Tabela1[[#This Row],[N°S]],LEN(Tabela1[[#This Row],[N°S]])-1),"")</f>
        <v/>
      </c>
      <c r="E132" s="1" t="str" cm="1">
        <f t="array" ref="E132">IFERROR(time_diff_cor(Tabela1[[#This Row],[Largada]],Tabela1[[#This Row],[Chegada]]),"00:20:00:000")</f>
        <v>00:20:00:000</v>
      </c>
      <c r="G132" s="1" t="str" cm="1">
        <f t="array" ref="G132">IF(Tabela1[[#This Row],[N°S]]="","NONE",IF(Tabela1[[#This Row],[N°]]=D131,time_sum(G131,Tabela1[[#This Row],[TEMPO]]),Tabela1[[#This Row],[TEMPO]]))</f>
        <v>NONE</v>
      </c>
      <c r="I132" s="1" t="e">
        <f>VLOOKUP(C132,LARGADA!A:B,2,FALSE)</f>
        <v>#N/A</v>
      </c>
      <c r="J132" s="1" t="e">
        <f>VLOOKUP(C132,CHEGADA!A:B,2,FALSE)</f>
        <v>#N/A</v>
      </c>
    </row>
    <row r="133" spans="4:10">
      <c r="D133" s="2" t="str">
        <f>IFERROR(LEFT(Tabela1[[#This Row],[N°S]],LEN(Tabela1[[#This Row],[N°S]])-1),"")</f>
        <v/>
      </c>
      <c r="E133" s="1" t="str" cm="1">
        <f t="array" ref="E133">IFERROR(time_diff_cor(Tabela1[[#This Row],[Largada]],Tabela1[[#This Row],[Chegada]]),"00:20:00:000")</f>
        <v>00:20:00:000</v>
      </c>
      <c r="G133" s="1" t="str" cm="1">
        <f t="array" ref="G133">IF(Tabela1[[#This Row],[N°S]]="","NONE",IF(Tabela1[[#This Row],[N°]]=D132,time_sum(G132,Tabela1[[#This Row],[TEMPO]]),Tabela1[[#This Row],[TEMPO]]))</f>
        <v>NONE</v>
      </c>
      <c r="I133" s="1" t="e">
        <f>VLOOKUP(C133,LARGADA!A:B,2,FALSE)</f>
        <v>#N/A</v>
      </c>
      <c r="J133" s="1" t="e">
        <f>VLOOKUP(C133,CHEGADA!A:B,2,FALSE)</f>
        <v>#N/A</v>
      </c>
    </row>
    <row r="134" spans="4:10">
      <c r="D134" s="2" t="str">
        <f>IFERROR(LEFT(Tabela1[[#This Row],[N°S]],LEN(Tabela1[[#This Row],[N°S]])-1),"")</f>
        <v/>
      </c>
      <c r="E134" s="1" t="str" cm="1">
        <f t="array" ref="E134">IFERROR(time_diff_cor(Tabela1[[#This Row],[Largada]],Tabela1[[#This Row],[Chegada]]),"00:20:00:000")</f>
        <v>00:20:00:000</v>
      </c>
      <c r="G134" s="1" t="str" cm="1">
        <f t="array" ref="G134">IF(Tabela1[[#This Row],[N°S]]="","NONE",IF(Tabela1[[#This Row],[N°]]=D133,time_sum(G133,Tabela1[[#This Row],[TEMPO]]),Tabela1[[#This Row],[TEMPO]]))</f>
        <v>NONE</v>
      </c>
      <c r="I134" s="1" t="e">
        <f>VLOOKUP(C134,LARGADA!A:B,2,FALSE)</f>
        <v>#N/A</v>
      </c>
      <c r="J134" s="1" t="e">
        <f>VLOOKUP(C134,CHEGADA!A:B,2,FALSE)</f>
        <v>#N/A</v>
      </c>
    </row>
    <row r="135" spans="4:10">
      <c r="D135" s="2" t="str">
        <f>IFERROR(LEFT(Tabela1[[#This Row],[N°S]],LEN(Tabela1[[#This Row],[N°S]])-1),"")</f>
        <v/>
      </c>
      <c r="E135" s="1" t="str" cm="1">
        <f t="array" ref="E135">IFERROR(time_diff_cor(Tabela1[[#This Row],[Largada]],Tabela1[[#This Row],[Chegada]]),"00:20:00:000")</f>
        <v>00:20:00:000</v>
      </c>
      <c r="G135" s="1" t="str" cm="1">
        <f t="array" ref="G135">IF(Tabela1[[#This Row],[N°S]]="","NONE",IF(Tabela1[[#This Row],[N°]]=D134,time_sum(G134,Tabela1[[#This Row],[TEMPO]]),Tabela1[[#This Row],[TEMPO]]))</f>
        <v>NONE</v>
      </c>
      <c r="I135" s="1" t="e">
        <f>VLOOKUP(C135,LARGADA!A:B,2,FALSE)</f>
        <v>#N/A</v>
      </c>
      <c r="J135" s="1" t="e">
        <f>VLOOKUP(C135,CHEGADA!A:B,2,FALSE)</f>
        <v>#N/A</v>
      </c>
    </row>
    <row r="136" spans="4:10">
      <c r="D136" s="2" t="str">
        <f>IFERROR(LEFT(Tabela1[[#This Row],[N°S]],LEN(Tabela1[[#This Row],[N°S]])-1),"")</f>
        <v/>
      </c>
      <c r="E136" s="1" t="str" cm="1">
        <f t="array" ref="E136">IFERROR(time_diff_cor(Tabela1[[#This Row],[Largada]],Tabela1[[#This Row],[Chegada]]),"00:20:00:000")</f>
        <v>00:20:00:000</v>
      </c>
      <c r="G136" s="1" t="str" cm="1">
        <f t="array" ref="G136">IF(Tabela1[[#This Row],[N°S]]="","NONE",IF(Tabela1[[#This Row],[N°]]=D135,time_sum(G135,Tabela1[[#This Row],[TEMPO]]),Tabela1[[#This Row],[TEMPO]]))</f>
        <v>NONE</v>
      </c>
      <c r="I136" s="1" t="e">
        <f>VLOOKUP(C136,LARGADA!A:B,2,FALSE)</f>
        <v>#N/A</v>
      </c>
      <c r="J136" s="1" t="e">
        <f>VLOOKUP(C136,CHEGADA!A:B,2,FALSE)</f>
        <v>#N/A</v>
      </c>
    </row>
    <row r="137" spans="4:10">
      <c r="D137" s="2" t="str">
        <f>IFERROR(LEFT(Tabela1[[#This Row],[N°S]],LEN(Tabela1[[#This Row],[N°S]])-1),"")</f>
        <v/>
      </c>
      <c r="E137" s="1" t="str" cm="1">
        <f t="array" ref="E137">IFERROR(time_diff_cor(Tabela1[[#This Row],[Largada]],Tabela1[[#This Row],[Chegada]]),"00:20:00:000")</f>
        <v>00:20:00:000</v>
      </c>
      <c r="G137" s="1" t="str" cm="1">
        <f t="array" ref="G137">IF(Tabela1[[#This Row],[N°S]]="","NONE",IF(Tabela1[[#This Row],[N°]]=D136,time_sum(G136,Tabela1[[#This Row],[TEMPO]]),Tabela1[[#This Row],[TEMPO]]))</f>
        <v>NONE</v>
      </c>
      <c r="I137" s="1" t="e">
        <f>VLOOKUP(C137,LARGADA!A:B,2,FALSE)</f>
        <v>#N/A</v>
      </c>
      <c r="J137" s="1" t="e">
        <f>VLOOKUP(C137,CHEGADA!A:B,2,FALSE)</f>
        <v>#N/A</v>
      </c>
    </row>
    <row r="138" spans="4:10">
      <c r="D138" s="2" t="str">
        <f>IFERROR(LEFT(Tabela1[[#This Row],[N°S]],LEN(Tabela1[[#This Row],[N°S]])-1),"")</f>
        <v/>
      </c>
      <c r="E138" s="1" t="str" cm="1">
        <f t="array" ref="E138">IFERROR(time_diff_cor(Tabela1[[#This Row],[Largada]],Tabela1[[#This Row],[Chegada]]),"00:20:00:000")</f>
        <v>00:20:00:000</v>
      </c>
      <c r="G138" s="1" t="str" cm="1">
        <f t="array" ref="G138">IF(Tabela1[[#This Row],[N°S]]="","NONE",IF(Tabela1[[#This Row],[N°]]=D137,time_sum(G137,Tabela1[[#This Row],[TEMPO]]),Tabela1[[#This Row],[TEMPO]]))</f>
        <v>NONE</v>
      </c>
      <c r="I138" s="1" t="e">
        <f>VLOOKUP(C138,LARGADA!A:B,2,FALSE)</f>
        <v>#N/A</v>
      </c>
      <c r="J138" s="1" t="e">
        <f>VLOOKUP(C138,CHEGADA!A:B,2,FALSE)</f>
        <v>#N/A</v>
      </c>
    </row>
    <row r="139" spans="4:10">
      <c r="D139" s="2" t="str">
        <f>IFERROR(LEFT(Tabela1[[#This Row],[N°S]],LEN(Tabela1[[#This Row],[N°S]])-1),"")</f>
        <v/>
      </c>
      <c r="E139" s="1" t="str" cm="1">
        <f t="array" ref="E139">IFERROR(time_diff_cor(Tabela1[[#This Row],[Largada]],Tabela1[[#This Row],[Chegada]]),"00:20:00:000")</f>
        <v>00:20:00:000</v>
      </c>
      <c r="G139" s="1" t="str" cm="1">
        <f t="array" ref="G139">IF(Tabela1[[#This Row],[N°S]]="","NONE",IF(Tabela1[[#This Row],[N°]]=D138,time_sum(G138,Tabela1[[#This Row],[TEMPO]]),Tabela1[[#This Row],[TEMPO]]))</f>
        <v>NONE</v>
      </c>
      <c r="I139" s="1" t="e">
        <f>VLOOKUP(C139,LARGADA!A:B,2,FALSE)</f>
        <v>#N/A</v>
      </c>
      <c r="J139" s="1" t="e">
        <f>VLOOKUP(C139,CHEGADA!A:B,2,FALSE)</f>
        <v>#N/A</v>
      </c>
    </row>
    <row r="140" spans="4:10">
      <c r="D140" s="2" t="str">
        <f>IFERROR(LEFT(Tabela1[[#This Row],[N°S]],LEN(Tabela1[[#This Row],[N°S]])-1),"")</f>
        <v/>
      </c>
      <c r="E140" s="1" t="str" cm="1">
        <f t="array" ref="E140">IFERROR(time_diff_cor(Tabela1[[#This Row],[Largada]],Tabela1[[#This Row],[Chegada]]),"00:20:00:000")</f>
        <v>00:20:00:000</v>
      </c>
      <c r="G140" s="1" t="str" cm="1">
        <f t="array" ref="G140">IF(Tabela1[[#This Row],[N°S]]="","NONE",IF(Tabela1[[#This Row],[N°]]=D139,time_sum(G139,Tabela1[[#This Row],[TEMPO]]),Tabela1[[#This Row],[TEMPO]]))</f>
        <v>NONE</v>
      </c>
      <c r="I140" s="1" t="e">
        <f>VLOOKUP(C140,LARGADA!A:B,2,FALSE)</f>
        <v>#N/A</v>
      </c>
      <c r="J140" s="1" t="e">
        <f>VLOOKUP(C140,CHEGADA!A:B,2,FALSE)</f>
        <v>#N/A</v>
      </c>
    </row>
    <row r="141" spans="4:10">
      <c r="D141" s="2" t="str">
        <f>IFERROR(LEFT(Tabela1[[#This Row],[N°S]],LEN(Tabela1[[#This Row],[N°S]])-1),"")</f>
        <v/>
      </c>
      <c r="E141" s="1" t="str" cm="1">
        <f t="array" ref="E141">IFERROR(time_diff_cor(Tabela1[[#This Row],[Largada]],Tabela1[[#This Row],[Chegada]]),"00:20:00:000")</f>
        <v>00:20:00:000</v>
      </c>
      <c r="G141" s="1" t="str" cm="1">
        <f t="array" ref="G141">IF(Tabela1[[#This Row],[N°S]]="","NONE",IF(Tabela1[[#This Row],[N°]]=D140,time_sum(G140,Tabela1[[#This Row],[TEMPO]]),Tabela1[[#This Row],[TEMPO]]))</f>
        <v>NONE</v>
      </c>
      <c r="I141" s="1" t="e">
        <f>VLOOKUP(C141,LARGADA!A:B,2,FALSE)</f>
        <v>#N/A</v>
      </c>
      <c r="J141" s="1" t="e">
        <f>VLOOKUP(C141,CHEGADA!A:B,2,FALSE)</f>
        <v>#N/A</v>
      </c>
    </row>
    <row r="142" spans="4:10">
      <c r="D142" s="2" t="str">
        <f>IFERROR(LEFT(Tabela1[[#This Row],[N°S]],LEN(Tabela1[[#This Row],[N°S]])-1),"")</f>
        <v/>
      </c>
      <c r="E142" s="1" t="str" cm="1">
        <f t="array" ref="E142">IFERROR(time_diff_cor(Tabela1[[#This Row],[Largada]],Tabela1[[#This Row],[Chegada]]),"00:20:00:000")</f>
        <v>00:20:00:000</v>
      </c>
      <c r="G142" s="1" t="str" cm="1">
        <f t="array" ref="G142">IF(Tabela1[[#This Row],[N°S]]="","NONE",IF(Tabela1[[#This Row],[N°]]=D141,time_sum(G141,Tabela1[[#This Row],[TEMPO]]),Tabela1[[#This Row],[TEMPO]]))</f>
        <v>NONE</v>
      </c>
      <c r="I142" s="1" t="e">
        <f>VLOOKUP(C142,LARGADA!A:B,2,FALSE)</f>
        <v>#N/A</v>
      </c>
      <c r="J142" s="1" t="e">
        <f>VLOOKUP(C142,CHEGADA!A:B,2,FALSE)</f>
        <v>#N/A</v>
      </c>
    </row>
    <row r="143" spans="4:10">
      <c r="D143" s="2" t="str">
        <f>IFERROR(LEFT(Tabela1[[#This Row],[N°S]],LEN(Tabela1[[#This Row],[N°S]])-1),"")</f>
        <v/>
      </c>
      <c r="E143" s="1" t="str" cm="1">
        <f t="array" ref="E143">IFERROR(time_diff_cor(Tabela1[[#This Row],[Largada]],Tabela1[[#This Row],[Chegada]]),"00:20:00:000")</f>
        <v>00:20:00:000</v>
      </c>
      <c r="G143" s="1" t="str" cm="1">
        <f t="array" ref="G143">IF(Tabela1[[#This Row],[N°S]]="","NONE",IF(Tabela1[[#This Row],[N°]]=D142,time_sum(G142,Tabela1[[#This Row],[TEMPO]]),Tabela1[[#This Row],[TEMPO]]))</f>
        <v>NONE</v>
      </c>
      <c r="I143" s="1" t="e">
        <f>VLOOKUP(C143,LARGADA!A:B,2,FALSE)</f>
        <v>#N/A</v>
      </c>
      <c r="J143" s="1" t="e">
        <f>VLOOKUP(C143,CHEGADA!A:B,2,FALSE)</f>
        <v>#N/A</v>
      </c>
    </row>
    <row r="144" spans="4:10">
      <c r="D144" s="2" t="str">
        <f>IFERROR(LEFT(Tabela1[[#This Row],[N°S]],LEN(Tabela1[[#This Row],[N°S]])-1),"")</f>
        <v/>
      </c>
      <c r="E144" s="1" t="str" cm="1">
        <f t="array" ref="E144">IFERROR(time_diff_cor(Tabela1[[#This Row],[Largada]],Tabela1[[#This Row],[Chegada]]),"00:20:00:000")</f>
        <v>00:20:00:000</v>
      </c>
      <c r="G144" s="1" t="str" cm="1">
        <f t="array" ref="G144">IF(Tabela1[[#This Row],[N°S]]="","NONE",IF(Tabela1[[#This Row],[N°]]=D143,time_sum(G143,Tabela1[[#This Row],[TEMPO]]),Tabela1[[#This Row],[TEMPO]]))</f>
        <v>NONE</v>
      </c>
      <c r="I144" s="1" t="e">
        <f>VLOOKUP(C144,LARGADA!A:B,2,FALSE)</f>
        <v>#N/A</v>
      </c>
      <c r="J144" s="1" t="e">
        <f>VLOOKUP(C144,CHEGADA!A:B,2,FALSE)</f>
        <v>#N/A</v>
      </c>
    </row>
    <row r="145" spans="4:10">
      <c r="D145" s="2" t="str">
        <f>IFERROR(LEFT(Tabela1[[#This Row],[N°S]],LEN(Tabela1[[#This Row],[N°S]])-1),"")</f>
        <v/>
      </c>
      <c r="E145" s="1" t="str" cm="1">
        <f t="array" ref="E145">IFERROR(time_diff_cor(Tabela1[[#This Row],[Largada]],Tabela1[[#This Row],[Chegada]]),"00:20:00:000")</f>
        <v>00:20:00:000</v>
      </c>
      <c r="G145" s="1" t="str" cm="1">
        <f t="array" ref="G145">IF(Tabela1[[#This Row],[N°S]]="","NONE",IF(Tabela1[[#This Row],[N°]]=D144,time_sum(G144,Tabela1[[#This Row],[TEMPO]]),Tabela1[[#This Row],[TEMPO]]))</f>
        <v>NONE</v>
      </c>
      <c r="I145" s="1" t="e">
        <f>VLOOKUP(C145,LARGADA!A:B,2,FALSE)</f>
        <v>#N/A</v>
      </c>
      <c r="J145" s="1" t="e">
        <f>VLOOKUP(C145,CHEGADA!A:B,2,FALSE)</f>
        <v>#N/A</v>
      </c>
    </row>
    <row r="146" spans="4:10">
      <c r="D146" s="2" t="str">
        <f>IFERROR(LEFT(Tabela1[[#This Row],[N°S]],LEN(Tabela1[[#This Row],[N°S]])-1),"")</f>
        <v/>
      </c>
      <c r="E146" s="1" t="str" cm="1">
        <f t="array" ref="E146">IFERROR(time_diff_cor(Tabela1[[#This Row],[Largada]],Tabela1[[#This Row],[Chegada]]),"00:20:00:000")</f>
        <v>00:20:00:000</v>
      </c>
      <c r="G146" s="1" t="str" cm="1">
        <f t="array" ref="G146">IF(Tabela1[[#This Row],[N°S]]="","NONE",IF(Tabela1[[#This Row],[N°]]=D145,time_sum(G145,Tabela1[[#This Row],[TEMPO]]),Tabela1[[#This Row],[TEMPO]]))</f>
        <v>NONE</v>
      </c>
      <c r="I146" s="1" t="e">
        <f>VLOOKUP(C146,LARGADA!A:B,2,FALSE)</f>
        <v>#N/A</v>
      </c>
      <c r="J146" s="1" t="e">
        <f>VLOOKUP(C146,CHEGADA!A:B,2,FALSE)</f>
        <v>#N/A</v>
      </c>
    </row>
    <row r="147" spans="4:10">
      <c r="D147" s="2" t="str">
        <f>IFERROR(LEFT(Tabela1[[#This Row],[N°S]],LEN(Tabela1[[#This Row],[N°S]])-1),"")</f>
        <v/>
      </c>
      <c r="E147" s="1" t="str" cm="1">
        <f t="array" ref="E147">IFERROR(time_diff_cor(Tabela1[[#This Row],[Largada]],Tabela1[[#This Row],[Chegada]]),"00:20:00:000")</f>
        <v>00:20:00:000</v>
      </c>
      <c r="G147" s="1" t="str" cm="1">
        <f t="array" ref="G147">IF(Tabela1[[#This Row],[N°S]]="","NONE",IF(Tabela1[[#This Row],[N°]]=D146,time_sum(G146,Tabela1[[#This Row],[TEMPO]]),Tabela1[[#This Row],[TEMPO]]))</f>
        <v>NONE</v>
      </c>
      <c r="I147" s="1" t="e">
        <f>VLOOKUP(C147,LARGADA!A:B,2,FALSE)</f>
        <v>#N/A</v>
      </c>
      <c r="J147" s="1" t="e">
        <f>VLOOKUP(C147,CHEGADA!A:B,2,FALSE)</f>
        <v>#N/A</v>
      </c>
    </row>
    <row r="148" spans="4:10">
      <c r="D148" s="2" t="str">
        <f>IFERROR(LEFT(Tabela1[[#This Row],[N°S]],LEN(Tabela1[[#This Row],[N°S]])-1),"")</f>
        <v/>
      </c>
      <c r="E148" s="1" t="str" cm="1">
        <f t="array" ref="E148">IFERROR(time_diff_cor(Tabela1[[#This Row],[Largada]],Tabela1[[#This Row],[Chegada]]),"00:20:00:000")</f>
        <v>00:20:00:000</v>
      </c>
      <c r="G148" s="1" t="str" cm="1">
        <f t="array" ref="G148">IF(Tabela1[[#This Row],[N°S]]="","NONE",IF(Tabela1[[#This Row],[N°]]=D147,time_sum(G147,Tabela1[[#This Row],[TEMPO]]),Tabela1[[#This Row],[TEMPO]]))</f>
        <v>NONE</v>
      </c>
      <c r="I148" s="1" t="e">
        <f>VLOOKUP(C148,LARGADA!A:B,2,FALSE)</f>
        <v>#N/A</v>
      </c>
      <c r="J148" s="1" t="e">
        <f>VLOOKUP(C148,CHEGADA!A:B,2,FALSE)</f>
        <v>#N/A</v>
      </c>
    </row>
    <row r="149" spans="4:10">
      <c r="D149" s="2" t="str">
        <f>IFERROR(LEFT(Tabela1[[#This Row],[N°S]],LEN(Tabela1[[#This Row],[N°S]])-1),"")</f>
        <v/>
      </c>
      <c r="E149" s="1" t="str" cm="1">
        <f t="array" ref="E149">IFERROR(time_diff_cor(Tabela1[[#This Row],[Largada]],Tabela1[[#This Row],[Chegada]]),"00:20:00:000")</f>
        <v>00:20:00:000</v>
      </c>
      <c r="G149" s="1" t="str" cm="1">
        <f t="array" ref="G149">IF(Tabela1[[#This Row],[N°S]]="","NONE",IF(Tabela1[[#This Row],[N°]]=D148,time_sum(G148,Tabela1[[#This Row],[TEMPO]]),Tabela1[[#This Row],[TEMPO]]))</f>
        <v>NONE</v>
      </c>
      <c r="I149" s="1" t="e">
        <f>VLOOKUP(C149,LARGADA!A:B,2,FALSE)</f>
        <v>#N/A</v>
      </c>
      <c r="J149" s="1" t="e">
        <f>VLOOKUP(C149,CHEGADA!A:B,2,FALSE)</f>
        <v>#N/A</v>
      </c>
    </row>
    <row r="150" spans="4:10">
      <c r="D150" s="2" t="str">
        <f>IFERROR(LEFT(Tabela1[[#This Row],[N°S]],LEN(Tabela1[[#This Row],[N°S]])-1),"")</f>
        <v/>
      </c>
      <c r="E150" s="1" t="str" cm="1">
        <f t="array" ref="E150">IFERROR(time_diff_cor(Tabela1[[#This Row],[Largada]],Tabela1[[#This Row],[Chegada]]),"00:20:00:000")</f>
        <v>00:20:00:000</v>
      </c>
      <c r="G150" s="1" t="str" cm="1">
        <f t="array" ref="G150">IF(Tabela1[[#This Row],[N°S]]="","NONE",IF(Tabela1[[#This Row],[N°]]=D149,time_sum(G149,Tabela1[[#This Row],[TEMPO]]),Tabela1[[#This Row],[TEMPO]]))</f>
        <v>NONE</v>
      </c>
      <c r="I150" s="1" t="e">
        <f>VLOOKUP(C150,LARGADA!A:B,2,FALSE)</f>
        <v>#N/A</v>
      </c>
      <c r="J150" s="1" t="e">
        <f>VLOOKUP(C150,CHEGADA!A:B,2,FALSE)</f>
        <v>#N/A</v>
      </c>
    </row>
    <row r="151" spans="4:10">
      <c r="D151" s="2" t="str">
        <f>IFERROR(LEFT(Tabela1[[#This Row],[N°S]],LEN(Tabela1[[#This Row],[N°S]])-1),"")</f>
        <v/>
      </c>
      <c r="E151" s="1" t="str" cm="1">
        <f t="array" ref="E151">IFERROR(time_diff_cor(Tabela1[[#This Row],[Largada]],Tabela1[[#This Row],[Chegada]]),"00:20:00:000")</f>
        <v>00:20:00:000</v>
      </c>
      <c r="G151" s="1" t="str" cm="1">
        <f t="array" ref="G151">IF(Tabela1[[#This Row],[N°S]]="","NONE",IF(Tabela1[[#This Row],[N°]]=D150,time_sum(G150,Tabela1[[#This Row],[TEMPO]]),Tabela1[[#This Row],[TEMPO]]))</f>
        <v>NONE</v>
      </c>
      <c r="I151" s="1" t="e">
        <f>VLOOKUP(C151,LARGADA!A:B,2,FALSE)</f>
        <v>#N/A</v>
      </c>
      <c r="J151" s="1" t="e">
        <f>VLOOKUP(C151,CHEGADA!A:B,2,FALSE)</f>
        <v>#N/A</v>
      </c>
    </row>
    <row r="152" spans="4:10">
      <c r="D152" s="2" t="str">
        <f>IFERROR(LEFT(Tabela1[[#This Row],[N°S]],LEN(Tabela1[[#This Row],[N°S]])-1),"")</f>
        <v/>
      </c>
      <c r="E152" s="1" t="str" cm="1">
        <f t="array" ref="E152">IFERROR(time_diff_cor(Tabela1[[#This Row],[Largada]],Tabela1[[#This Row],[Chegada]]),"00:20:00:000")</f>
        <v>00:20:00:000</v>
      </c>
      <c r="G152" s="1" t="str" cm="1">
        <f t="array" ref="G152">IF(Tabela1[[#This Row],[N°S]]="","NONE",IF(Tabela1[[#This Row],[N°]]=D151,time_sum(G151,Tabela1[[#This Row],[TEMPO]]),Tabela1[[#This Row],[TEMPO]]))</f>
        <v>NONE</v>
      </c>
      <c r="I152" s="1" t="e">
        <f>VLOOKUP(C152,LARGADA!A:B,2,FALSE)</f>
        <v>#N/A</v>
      </c>
      <c r="J152" s="1" t="e">
        <f>VLOOKUP(C152,CHEGADA!A:B,2,FALSE)</f>
        <v>#N/A</v>
      </c>
    </row>
    <row r="153" spans="4:10">
      <c r="D153" s="2" t="str">
        <f>IFERROR(LEFT(Tabela1[[#This Row],[N°S]],LEN(Tabela1[[#This Row],[N°S]])-1),"")</f>
        <v/>
      </c>
      <c r="E153" s="1" t="str" cm="1">
        <f t="array" ref="E153">IFERROR(time_diff_cor(Tabela1[[#This Row],[Largada]],Tabela1[[#This Row],[Chegada]]),"00:20:00:000")</f>
        <v>00:20:00:000</v>
      </c>
      <c r="G153" s="1" t="str" cm="1">
        <f t="array" ref="G153">IF(Tabela1[[#This Row],[N°S]]="","NONE",IF(Tabela1[[#This Row],[N°]]=D152,time_sum(G152,Tabela1[[#This Row],[TEMPO]]),Tabela1[[#This Row],[TEMPO]]))</f>
        <v>NONE</v>
      </c>
      <c r="I153" s="1" t="e">
        <f>VLOOKUP(C153,LARGADA!A:B,2,FALSE)</f>
        <v>#N/A</v>
      </c>
      <c r="J153" s="1" t="e">
        <f>VLOOKUP(C153,CHEGADA!A:B,2,FALSE)</f>
        <v>#N/A</v>
      </c>
    </row>
    <row r="154" spans="4:10">
      <c r="D154" s="2" t="str">
        <f>IFERROR(LEFT(Tabela1[[#This Row],[N°S]],LEN(Tabela1[[#This Row],[N°S]])-1),"")</f>
        <v/>
      </c>
      <c r="E154" s="1" t="str" cm="1">
        <f t="array" ref="E154">IFERROR(time_diff_cor(Tabela1[[#This Row],[Largada]],Tabela1[[#This Row],[Chegada]]),"00:20:00:000")</f>
        <v>00:20:00:000</v>
      </c>
      <c r="G154" s="1" t="str" cm="1">
        <f t="array" ref="G154">IF(Tabela1[[#This Row],[N°S]]="","NONE",IF(Tabela1[[#This Row],[N°]]=D153,time_sum(G153,Tabela1[[#This Row],[TEMPO]]),Tabela1[[#This Row],[TEMPO]]))</f>
        <v>NONE</v>
      </c>
      <c r="I154" s="1" t="e">
        <f>VLOOKUP(C154,LARGADA!A:B,2,FALSE)</f>
        <v>#N/A</v>
      </c>
      <c r="J154" s="1" t="e">
        <f>VLOOKUP(C154,CHEGADA!A:B,2,FALSE)</f>
        <v>#N/A</v>
      </c>
    </row>
    <row r="155" spans="4:10">
      <c r="D155" s="2" t="str">
        <f>IFERROR(LEFT(Tabela1[[#This Row],[N°S]],LEN(Tabela1[[#This Row],[N°S]])-1),"")</f>
        <v/>
      </c>
      <c r="E155" s="1" t="str" cm="1">
        <f t="array" ref="E155">IFERROR(time_diff_cor(Tabela1[[#This Row],[Largada]],Tabela1[[#This Row],[Chegada]]),"00:20:00:000")</f>
        <v>00:20:00:000</v>
      </c>
      <c r="G155" s="1" t="str" cm="1">
        <f t="array" ref="G155">IF(Tabela1[[#This Row],[N°S]]="","NONE",IF(Tabela1[[#This Row],[N°]]=D154,time_sum(G154,Tabela1[[#This Row],[TEMPO]]),Tabela1[[#This Row],[TEMPO]]))</f>
        <v>NONE</v>
      </c>
      <c r="I155" s="1" t="e">
        <f>VLOOKUP(C155,LARGADA!A:B,2,FALSE)</f>
        <v>#N/A</v>
      </c>
      <c r="J155" s="1" t="e">
        <f>VLOOKUP(C155,CHEGADA!A:B,2,FALSE)</f>
        <v>#N/A</v>
      </c>
    </row>
    <row r="156" spans="4:10">
      <c r="D156" s="2" t="str">
        <f>IFERROR(LEFT(Tabela1[[#This Row],[N°S]],LEN(Tabela1[[#This Row],[N°S]])-1),"")</f>
        <v/>
      </c>
      <c r="E156" s="1" t="str" cm="1">
        <f t="array" ref="E156">IFERROR(time_diff_cor(Tabela1[[#This Row],[Largada]],Tabela1[[#This Row],[Chegada]]),"00:20:00:000")</f>
        <v>00:20:00:000</v>
      </c>
      <c r="G156" s="1" t="str" cm="1">
        <f t="array" ref="G156">IF(Tabela1[[#This Row],[N°S]]="","NONE",IF(Tabela1[[#This Row],[N°]]=D155,time_sum(G155,Tabela1[[#This Row],[TEMPO]]),Tabela1[[#This Row],[TEMPO]]))</f>
        <v>NONE</v>
      </c>
      <c r="I156" s="1" t="e">
        <f>VLOOKUP(C156,LARGADA!A:B,2,FALSE)</f>
        <v>#N/A</v>
      </c>
      <c r="J156" s="1" t="e">
        <f>VLOOKUP(C156,CHEGADA!A:B,2,FALSE)</f>
        <v>#N/A</v>
      </c>
    </row>
    <row r="157" spans="4:10">
      <c r="D157" s="2" t="str">
        <f>IFERROR(LEFT(Tabela1[[#This Row],[N°S]],LEN(Tabela1[[#This Row],[N°S]])-1),"")</f>
        <v/>
      </c>
      <c r="E157" s="1" t="str" cm="1">
        <f t="array" ref="E157">IFERROR(time_diff_cor(Tabela1[[#This Row],[Largada]],Tabela1[[#This Row],[Chegada]]),"00:20:00:000")</f>
        <v>00:20:00:000</v>
      </c>
      <c r="G157" s="1" t="str" cm="1">
        <f t="array" ref="G157">IF(Tabela1[[#This Row],[N°S]]="","NONE",IF(Tabela1[[#This Row],[N°]]=D156,time_sum(G156,Tabela1[[#This Row],[TEMPO]]),Tabela1[[#This Row],[TEMPO]]))</f>
        <v>NONE</v>
      </c>
      <c r="I157" s="1" t="e">
        <f>VLOOKUP(C157,LARGADA!A:B,2,FALSE)</f>
        <v>#N/A</v>
      </c>
      <c r="J157" s="1" t="e">
        <f>VLOOKUP(C157,CHEGADA!A:B,2,FALSE)</f>
        <v>#N/A</v>
      </c>
    </row>
    <row r="158" spans="4:10">
      <c r="D158" s="2" t="str">
        <f>IFERROR(LEFT(Tabela1[[#This Row],[N°S]],LEN(Tabela1[[#This Row],[N°S]])-1),"")</f>
        <v/>
      </c>
      <c r="E158" s="1" t="str" cm="1">
        <f t="array" ref="E158">IFERROR(time_diff_cor(Tabela1[[#This Row],[Largada]],Tabela1[[#This Row],[Chegada]]),"00:20:00:000")</f>
        <v>00:20:00:000</v>
      </c>
      <c r="G158" s="1" t="str" cm="1">
        <f t="array" ref="G158">IF(Tabela1[[#This Row],[N°S]]="","NONE",IF(Tabela1[[#This Row],[N°]]=D157,time_sum(G157,Tabela1[[#This Row],[TEMPO]]),Tabela1[[#This Row],[TEMPO]]))</f>
        <v>NONE</v>
      </c>
      <c r="I158" s="1" t="e">
        <f>VLOOKUP(C158,LARGADA!A:B,2,FALSE)</f>
        <v>#N/A</v>
      </c>
      <c r="J158" s="1" t="e">
        <f>VLOOKUP(C158,CHEGADA!A:B,2,FALSE)</f>
        <v>#N/A</v>
      </c>
    </row>
    <row r="159" spans="4:10">
      <c r="D159" s="2" t="str">
        <f>IFERROR(LEFT(Tabela1[[#This Row],[N°S]],LEN(Tabela1[[#This Row],[N°S]])-1),"")</f>
        <v/>
      </c>
      <c r="E159" s="1" t="str" cm="1">
        <f t="array" ref="E159">IFERROR(time_diff_cor(Tabela1[[#This Row],[Largada]],Tabela1[[#This Row],[Chegada]]),"00:20:00:000")</f>
        <v>00:20:00:000</v>
      </c>
      <c r="G159" s="1" t="str" cm="1">
        <f t="array" ref="G159">IF(Tabela1[[#This Row],[N°S]]="","NONE",IF(Tabela1[[#This Row],[N°]]=D158,time_sum(G158,Tabela1[[#This Row],[TEMPO]]),Tabela1[[#This Row],[TEMPO]]))</f>
        <v>NONE</v>
      </c>
      <c r="I159" s="1" t="e">
        <f>VLOOKUP(C159,LARGADA!A:B,2,FALSE)</f>
        <v>#N/A</v>
      </c>
      <c r="J159" s="1" t="e">
        <f>VLOOKUP(C159,CHEGADA!A:B,2,FALSE)</f>
        <v>#N/A</v>
      </c>
    </row>
    <row r="160" spans="4:10">
      <c r="D160" s="2" t="str">
        <f>IFERROR(LEFT(Tabela1[[#This Row],[N°S]],LEN(Tabela1[[#This Row],[N°S]])-1),"")</f>
        <v/>
      </c>
      <c r="E160" s="1" t="str" cm="1">
        <f t="array" ref="E160">IFERROR(time_diff_cor(Tabela1[[#This Row],[Largada]],Tabela1[[#This Row],[Chegada]]),"00:20:00:000")</f>
        <v>00:20:00:000</v>
      </c>
      <c r="G160" s="1" t="str" cm="1">
        <f t="array" ref="G160">IF(Tabela1[[#This Row],[N°S]]="","NONE",IF(Tabela1[[#This Row],[N°]]=D159,time_sum(G159,Tabela1[[#This Row],[TEMPO]]),Tabela1[[#This Row],[TEMPO]]))</f>
        <v>NONE</v>
      </c>
      <c r="I160" s="1" t="e">
        <f>VLOOKUP(C160,LARGADA!A:B,2,FALSE)</f>
        <v>#N/A</v>
      </c>
      <c r="J160" s="1" t="e">
        <f>VLOOKUP(C160,CHEGADA!A:B,2,FALSE)</f>
        <v>#N/A</v>
      </c>
    </row>
    <row r="161" spans="4:10">
      <c r="D161" s="2" t="str">
        <f>IFERROR(LEFT(Tabela1[[#This Row],[N°S]],LEN(Tabela1[[#This Row],[N°S]])-1),"")</f>
        <v/>
      </c>
      <c r="E161" s="1" t="str" cm="1">
        <f t="array" ref="E161">IFERROR(time_diff_cor(Tabela1[[#This Row],[Largada]],Tabela1[[#This Row],[Chegada]]),"00:20:00:000")</f>
        <v>00:20:00:000</v>
      </c>
      <c r="G161" s="1" t="str" cm="1">
        <f t="array" ref="G161">IF(Tabela1[[#This Row],[N°S]]="","NONE",IF(Tabela1[[#This Row],[N°]]=D160,time_sum(G160,Tabela1[[#This Row],[TEMPO]]),Tabela1[[#This Row],[TEMPO]]))</f>
        <v>NONE</v>
      </c>
      <c r="I161" s="1" t="e">
        <f>VLOOKUP(C161,LARGADA!A:B,2,FALSE)</f>
        <v>#N/A</v>
      </c>
      <c r="J161" s="1" t="e">
        <f>VLOOKUP(C161,CHEGADA!A:B,2,FALSE)</f>
        <v>#N/A</v>
      </c>
    </row>
    <row r="162" spans="4:10">
      <c r="D162" s="2" t="str">
        <f>IFERROR(LEFT(Tabela1[[#This Row],[N°S]],LEN(Tabela1[[#This Row],[N°S]])-1),"")</f>
        <v/>
      </c>
      <c r="E162" s="1" t="str" cm="1">
        <f t="array" ref="E162">IFERROR(time_diff_cor(Tabela1[[#This Row],[Largada]],Tabela1[[#This Row],[Chegada]]),"00:20:00:000")</f>
        <v>00:20:00:000</v>
      </c>
      <c r="G162" s="1" t="str" cm="1">
        <f t="array" ref="G162">IF(Tabela1[[#This Row],[N°S]]="","NONE",IF(Tabela1[[#This Row],[N°]]=D161,time_sum(G161,Tabela1[[#This Row],[TEMPO]]),Tabela1[[#This Row],[TEMPO]]))</f>
        <v>NONE</v>
      </c>
      <c r="I162" s="1" t="e">
        <f>VLOOKUP(C162,LARGADA!A:B,2,FALSE)</f>
        <v>#N/A</v>
      </c>
      <c r="J162" s="1" t="e">
        <f>VLOOKUP(C162,CHEGADA!A:B,2,FALSE)</f>
        <v>#N/A</v>
      </c>
    </row>
    <row r="163" spans="4:10">
      <c r="D163" s="2" t="str">
        <f>IFERROR(LEFT(Tabela1[[#This Row],[N°S]],LEN(Tabela1[[#This Row],[N°S]])-1),"")</f>
        <v/>
      </c>
      <c r="E163" s="1" t="str" cm="1">
        <f t="array" ref="E163">IFERROR(time_diff_cor(Tabela1[[#This Row],[Largada]],Tabela1[[#This Row],[Chegada]]),"00:20:00:000")</f>
        <v>00:20:00:000</v>
      </c>
      <c r="G163" s="1" t="str" cm="1">
        <f t="array" ref="G163">IF(Tabela1[[#This Row],[N°S]]="","NONE",IF(Tabela1[[#This Row],[N°]]=D162,time_sum(G162,Tabela1[[#This Row],[TEMPO]]),Tabela1[[#This Row],[TEMPO]]))</f>
        <v>NONE</v>
      </c>
      <c r="I163" s="1" t="e">
        <f>VLOOKUP(C163,LARGADA!A:B,2,FALSE)</f>
        <v>#N/A</v>
      </c>
      <c r="J163" s="1" t="e">
        <f>VLOOKUP(C163,CHEGADA!A:B,2,FALSE)</f>
        <v>#N/A</v>
      </c>
    </row>
    <row r="164" spans="4:10">
      <c r="D164" s="2" t="str">
        <f>IFERROR(LEFT(Tabela1[[#This Row],[N°S]],LEN(Tabela1[[#This Row],[N°S]])-1),"")</f>
        <v/>
      </c>
      <c r="E164" s="1" t="str" cm="1">
        <f t="array" ref="E164">IFERROR(time_diff_cor(Tabela1[[#This Row],[Largada]],Tabela1[[#This Row],[Chegada]]),"00:20:00:000")</f>
        <v>00:20:00:000</v>
      </c>
      <c r="G164" s="1" t="str" cm="1">
        <f t="array" ref="G164">IF(Tabela1[[#This Row],[N°S]]="","NONE",IF(Tabela1[[#This Row],[N°]]=D163,time_sum(G163,Tabela1[[#This Row],[TEMPO]]),Tabela1[[#This Row],[TEMPO]]))</f>
        <v>NONE</v>
      </c>
      <c r="I164" s="1" t="e">
        <f>VLOOKUP(C164,LARGADA!A:B,2,FALSE)</f>
        <v>#N/A</v>
      </c>
      <c r="J164" s="1" t="e">
        <f>VLOOKUP(C164,CHEGADA!A:B,2,FALSE)</f>
        <v>#N/A</v>
      </c>
    </row>
    <row r="165" spans="4:10">
      <c r="D165" s="2" t="str">
        <f>IFERROR(LEFT(Tabela1[[#This Row],[N°S]],LEN(Tabela1[[#This Row],[N°S]])-1),"")</f>
        <v/>
      </c>
      <c r="E165" s="1" t="str" cm="1">
        <f t="array" ref="E165">IFERROR(time_diff_cor(Tabela1[[#This Row],[Largada]],Tabela1[[#This Row],[Chegada]]),"00:20:00:000")</f>
        <v>00:20:00:000</v>
      </c>
      <c r="G165" s="1" t="str" cm="1">
        <f t="array" ref="G165">IF(Tabela1[[#This Row],[N°S]]="","NONE",IF(Tabela1[[#This Row],[N°]]=D164,time_sum(G164,Tabela1[[#This Row],[TEMPO]]),Tabela1[[#This Row],[TEMPO]]))</f>
        <v>NONE</v>
      </c>
      <c r="I165" s="1" t="e">
        <f>VLOOKUP(C165,LARGADA!A:B,2,FALSE)</f>
        <v>#N/A</v>
      </c>
      <c r="J165" s="1" t="e">
        <f>VLOOKUP(C165,CHEGADA!A:B,2,FALSE)</f>
        <v>#N/A</v>
      </c>
    </row>
    <row r="166" spans="4:10">
      <c r="D166" s="2" t="str">
        <f>IFERROR(LEFT(Tabela1[[#This Row],[N°S]],LEN(Tabela1[[#This Row],[N°S]])-1),"")</f>
        <v/>
      </c>
      <c r="E166" s="1" t="str" cm="1">
        <f t="array" ref="E166">IFERROR(time_diff_cor(Tabela1[[#This Row],[Largada]],Tabela1[[#This Row],[Chegada]]),"00:20:00:000")</f>
        <v>00:20:00:000</v>
      </c>
      <c r="G166" s="1" t="str" cm="1">
        <f t="array" ref="G166">IF(Tabela1[[#This Row],[N°S]]="","NONE",IF(Tabela1[[#This Row],[N°]]=D165,time_sum(G165,Tabela1[[#This Row],[TEMPO]]),Tabela1[[#This Row],[TEMPO]]))</f>
        <v>NONE</v>
      </c>
      <c r="I166" s="1" t="e">
        <f>VLOOKUP(C166,LARGADA!A:B,2,FALSE)</f>
        <v>#N/A</v>
      </c>
      <c r="J166" s="1" t="e">
        <f>VLOOKUP(C166,CHEGADA!A:B,2,FALSE)</f>
        <v>#N/A</v>
      </c>
    </row>
    <row r="167" spans="4:10">
      <c r="D167" s="2" t="str">
        <f>IFERROR(LEFT(Tabela1[[#This Row],[N°S]],LEN(Tabela1[[#This Row],[N°S]])-1),"")</f>
        <v/>
      </c>
      <c r="E167" s="1" t="str" cm="1">
        <f t="array" ref="E167">IFERROR(time_diff_cor(Tabela1[[#This Row],[Largada]],Tabela1[[#This Row],[Chegada]]),"00:20:00:000")</f>
        <v>00:20:00:000</v>
      </c>
      <c r="G167" s="1" t="str" cm="1">
        <f t="array" ref="G167">IF(Tabela1[[#This Row],[N°S]]="","NONE",IF(Tabela1[[#This Row],[N°]]=D166,time_sum(G166,Tabela1[[#This Row],[TEMPO]]),Tabela1[[#This Row],[TEMPO]]))</f>
        <v>NONE</v>
      </c>
      <c r="I167" s="1" t="e">
        <f>VLOOKUP(C167,LARGADA!A:B,2,FALSE)</f>
        <v>#N/A</v>
      </c>
      <c r="J167" s="1" t="e">
        <f>VLOOKUP(C167,CHEGADA!A:B,2,FALSE)</f>
        <v>#N/A</v>
      </c>
    </row>
    <row r="168" spans="4:10">
      <c r="D168" s="2" t="str">
        <f>IFERROR(LEFT(Tabela1[[#This Row],[N°S]],LEN(Tabela1[[#This Row],[N°S]])-1),"")</f>
        <v/>
      </c>
      <c r="E168" s="1" t="str" cm="1">
        <f t="array" ref="E168">IFERROR(time_diff_cor(Tabela1[[#This Row],[Largada]],Tabela1[[#This Row],[Chegada]]),"00:20:00:000")</f>
        <v>00:20:00:000</v>
      </c>
      <c r="G168" s="1" t="str" cm="1">
        <f t="array" ref="G168">IF(Tabela1[[#This Row],[N°S]]="","NONE",IF(Tabela1[[#This Row],[N°]]=D167,time_sum(G167,Tabela1[[#This Row],[TEMPO]]),Tabela1[[#This Row],[TEMPO]]))</f>
        <v>NONE</v>
      </c>
      <c r="I168" s="1" t="e">
        <f>VLOOKUP(C168,LARGADA!A:B,2,FALSE)</f>
        <v>#N/A</v>
      </c>
      <c r="J168" s="1" t="e">
        <f>VLOOKUP(C168,CHEGADA!A:B,2,FALSE)</f>
        <v>#N/A</v>
      </c>
    </row>
    <row r="169" spans="4:10">
      <c r="D169" s="2" t="str">
        <f>IFERROR(LEFT(Tabela1[[#This Row],[N°S]],LEN(Tabela1[[#This Row],[N°S]])-1),"")</f>
        <v/>
      </c>
      <c r="E169" s="1" t="str" cm="1">
        <f t="array" ref="E169">IFERROR(time_diff_cor(Tabela1[[#This Row],[Largada]],Tabela1[[#This Row],[Chegada]]),"00:20:00:000")</f>
        <v>00:20:00:000</v>
      </c>
      <c r="G169" s="1" t="str" cm="1">
        <f t="array" ref="G169">IF(Tabela1[[#This Row],[N°S]]="","NONE",IF(Tabela1[[#This Row],[N°]]=D168,time_sum(G168,Tabela1[[#This Row],[TEMPO]]),Tabela1[[#This Row],[TEMPO]]))</f>
        <v>NONE</v>
      </c>
      <c r="I169" s="1" t="e">
        <f>VLOOKUP(C169,LARGADA!A:B,2,FALSE)</f>
        <v>#N/A</v>
      </c>
      <c r="J169" s="1" t="e">
        <f>VLOOKUP(C169,CHEGADA!A:B,2,FALSE)</f>
        <v>#N/A</v>
      </c>
    </row>
    <row r="170" spans="4:10">
      <c r="D170" s="2" t="str">
        <f>IFERROR(LEFT(Tabela1[[#This Row],[N°S]],LEN(Tabela1[[#This Row],[N°S]])-1),"")</f>
        <v/>
      </c>
      <c r="E170" s="1" t="str" cm="1">
        <f t="array" ref="E170">IFERROR(time_diff_cor(Tabela1[[#This Row],[Largada]],Tabela1[[#This Row],[Chegada]]),"00:20:00:000")</f>
        <v>00:20:00:000</v>
      </c>
      <c r="G170" s="1" t="str" cm="1">
        <f t="array" ref="G170">IF(Tabela1[[#This Row],[N°S]]="","NONE",IF(Tabela1[[#This Row],[N°]]=D169,time_sum(G169,Tabela1[[#This Row],[TEMPO]]),Tabela1[[#This Row],[TEMPO]]))</f>
        <v>NONE</v>
      </c>
      <c r="I170" s="1" t="e">
        <f>VLOOKUP(C170,LARGADA!A:B,2,FALSE)</f>
        <v>#N/A</v>
      </c>
      <c r="J170" s="1" t="e">
        <f>VLOOKUP(C170,CHEGADA!A:B,2,FALSE)</f>
        <v>#N/A</v>
      </c>
    </row>
    <row r="171" spans="4:10">
      <c r="D171" s="2" t="str">
        <f>IFERROR(LEFT(Tabela1[[#This Row],[N°S]],LEN(Tabela1[[#This Row],[N°S]])-1),"")</f>
        <v/>
      </c>
      <c r="E171" s="1" t="str" cm="1">
        <f t="array" ref="E171">IFERROR(time_diff_cor(Tabela1[[#This Row],[Largada]],Tabela1[[#This Row],[Chegada]]),"00:20:00:000")</f>
        <v>00:20:00:000</v>
      </c>
      <c r="G171" s="1" t="str" cm="1">
        <f t="array" ref="G171">IF(Tabela1[[#This Row],[N°S]]="","NONE",IF(Tabela1[[#This Row],[N°]]=D170,time_sum(G170,Tabela1[[#This Row],[TEMPO]]),Tabela1[[#This Row],[TEMPO]]))</f>
        <v>NONE</v>
      </c>
      <c r="I171" s="1" t="e">
        <f>VLOOKUP(C171,LARGADA!A:B,2,FALSE)</f>
        <v>#N/A</v>
      </c>
      <c r="J171" s="1" t="e">
        <f>VLOOKUP(C171,CHEGADA!A:B,2,FALSE)</f>
        <v>#N/A</v>
      </c>
    </row>
    <row r="172" spans="4:10">
      <c r="D172" s="2" t="str">
        <f>IFERROR(LEFT(Tabela1[[#This Row],[N°S]],LEN(Tabela1[[#This Row],[N°S]])-1),"")</f>
        <v/>
      </c>
      <c r="E172" s="1" t="str" cm="1">
        <f t="array" ref="E172">IFERROR(time_diff_cor(Tabela1[[#This Row],[Largada]],Tabela1[[#This Row],[Chegada]]),"00:20:00:000")</f>
        <v>00:20:00:000</v>
      </c>
      <c r="G172" s="1" t="str" cm="1">
        <f t="array" ref="G172">IF(Tabela1[[#This Row],[N°S]]="","NONE",IF(Tabela1[[#This Row],[N°]]=D171,time_sum(G171,Tabela1[[#This Row],[TEMPO]]),Tabela1[[#This Row],[TEMPO]]))</f>
        <v>NONE</v>
      </c>
      <c r="I172" s="1" t="e">
        <f>VLOOKUP(C172,LARGADA!A:B,2,FALSE)</f>
        <v>#N/A</v>
      </c>
      <c r="J172" s="1" t="e">
        <f>VLOOKUP(C172,CHEGADA!A:B,2,FALSE)</f>
        <v>#N/A</v>
      </c>
    </row>
    <row r="173" spans="4:10">
      <c r="D173" s="2" t="str">
        <f>IFERROR(LEFT(Tabela1[[#This Row],[N°S]],LEN(Tabela1[[#This Row],[N°S]])-1),"")</f>
        <v/>
      </c>
      <c r="E173" s="1" t="str" cm="1">
        <f t="array" ref="E173">IFERROR(time_diff_cor(Tabela1[[#This Row],[Largada]],Tabela1[[#This Row],[Chegada]]),"00:20:00:000")</f>
        <v>00:20:00:000</v>
      </c>
      <c r="G173" s="1" t="str" cm="1">
        <f t="array" ref="G173">IF(Tabela1[[#This Row],[N°S]]="","NONE",IF(Tabela1[[#This Row],[N°]]=D172,time_sum(G172,Tabela1[[#This Row],[TEMPO]]),Tabela1[[#This Row],[TEMPO]]))</f>
        <v>NONE</v>
      </c>
      <c r="I173" s="1" t="e">
        <f>VLOOKUP(C173,LARGADA!A:B,2,FALSE)</f>
        <v>#N/A</v>
      </c>
      <c r="J173" s="1" t="e">
        <f>VLOOKUP(C173,CHEGADA!A:B,2,FALSE)</f>
        <v>#N/A</v>
      </c>
    </row>
    <row r="174" spans="4:10">
      <c r="D174" s="2" t="str">
        <f>IFERROR(LEFT(Tabela1[[#This Row],[N°S]],LEN(Tabela1[[#This Row],[N°S]])-1),"")</f>
        <v/>
      </c>
      <c r="E174" s="1" t="str" cm="1">
        <f t="array" ref="E174">IFERROR(time_diff_cor(Tabela1[[#This Row],[Largada]],Tabela1[[#This Row],[Chegada]]),"00:20:00:000")</f>
        <v>00:20:00:000</v>
      </c>
      <c r="G174" s="1" t="str" cm="1">
        <f t="array" ref="G174">IF(Tabela1[[#This Row],[N°S]]="","NONE",IF(Tabela1[[#This Row],[N°]]=D173,time_sum(G173,Tabela1[[#This Row],[TEMPO]]),Tabela1[[#This Row],[TEMPO]]))</f>
        <v>NONE</v>
      </c>
      <c r="I174" s="1" t="e">
        <f>VLOOKUP(C174,LARGADA!A:B,2,FALSE)</f>
        <v>#N/A</v>
      </c>
      <c r="J174" s="1" t="e">
        <f>VLOOKUP(C174,CHEGADA!A:B,2,FALSE)</f>
        <v>#N/A</v>
      </c>
    </row>
    <row r="175" spans="4:10">
      <c r="D175" s="2" t="str">
        <f>IFERROR(LEFT(Tabela1[[#This Row],[N°S]],LEN(Tabela1[[#This Row],[N°S]])-1),"")</f>
        <v/>
      </c>
      <c r="E175" s="1" t="str" cm="1">
        <f t="array" ref="E175">IFERROR(time_diff_cor(Tabela1[[#This Row],[Largada]],Tabela1[[#This Row],[Chegada]]),"00:20:00:000")</f>
        <v>00:20:00:000</v>
      </c>
      <c r="G175" s="1" t="str" cm="1">
        <f t="array" ref="G175">IF(Tabela1[[#This Row],[N°S]]="","NONE",IF(Tabela1[[#This Row],[N°]]=D174,time_sum(G174,Tabela1[[#This Row],[TEMPO]]),Tabela1[[#This Row],[TEMPO]]))</f>
        <v>NONE</v>
      </c>
      <c r="I175" s="1" t="e">
        <f>VLOOKUP(C175,LARGADA!A:B,2,FALSE)</f>
        <v>#N/A</v>
      </c>
      <c r="J175" s="1" t="e">
        <f>VLOOKUP(C175,CHEGADA!A:B,2,FALSE)</f>
        <v>#N/A</v>
      </c>
    </row>
    <row r="176" spans="4:10">
      <c r="D176" s="2" t="str">
        <f>IFERROR(LEFT(Tabela1[[#This Row],[N°S]],LEN(Tabela1[[#This Row],[N°S]])-1),"")</f>
        <v/>
      </c>
      <c r="E176" s="1" t="str" cm="1">
        <f t="array" ref="E176">IFERROR(time_diff_cor(Tabela1[[#This Row],[Largada]],Tabela1[[#This Row],[Chegada]]),"00:20:00:000")</f>
        <v>00:20:00:000</v>
      </c>
      <c r="G176" s="1" t="str" cm="1">
        <f t="array" ref="G176">IF(Tabela1[[#This Row],[N°S]]="","NONE",IF(Tabela1[[#This Row],[N°]]=D175,time_sum(G175,Tabela1[[#This Row],[TEMPO]]),Tabela1[[#This Row],[TEMPO]]))</f>
        <v>NONE</v>
      </c>
      <c r="I176" s="1" t="e">
        <f>VLOOKUP(C176,LARGADA!A:B,2,FALSE)</f>
        <v>#N/A</v>
      </c>
      <c r="J176" s="1" t="e">
        <f>VLOOKUP(C176,CHEGADA!A:B,2,FALSE)</f>
        <v>#N/A</v>
      </c>
    </row>
    <row r="177" spans="4:10">
      <c r="D177" s="2" t="str">
        <f>IFERROR(LEFT(Tabela1[[#This Row],[N°S]],LEN(Tabela1[[#This Row],[N°S]])-1),"")</f>
        <v/>
      </c>
      <c r="E177" s="1" t="str" cm="1">
        <f t="array" ref="E177">IFERROR(time_diff_cor(Tabela1[[#This Row],[Largada]],Tabela1[[#This Row],[Chegada]]),"00:20:00:000")</f>
        <v>00:20:00:000</v>
      </c>
      <c r="G177" s="1" t="str" cm="1">
        <f t="array" ref="G177">IF(Tabela1[[#This Row],[N°S]]="","NONE",IF(Tabela1[[#This Row],[N°]]=D176,time_sum(G176,Tabela1[[#This Row],[TEMPO]]),Tabela1[[#This Row],[TEMPO]]))</f>
        <v>NONE</v>
      </c>
      <c r="I177" s="1" t="e">
        <f>VLOOKUP(C177,LARGADA!A:B,2,FALSE)</f>
        <v>#N/A</v>
      </c>
      <c r="J177" s="1" t="e">
        <f>VLOOKUP(C177,CHEGADA!A:B,2,FALSE)</f>
        <v>#N/A</v>
      </c>
    </row>
    <row r="178" spans="4:10">
      <c r="D178" s="2" t="str">
        <f>IFERROR(LEFT(Tabela1[[#This Row],[N°S]],LEN(Tabela1[[#This Row],[N°S]])-1),"")</f>
        <v/>
      </c>
      <c r="E178" s="1" t="str" cm="1">
        <f t="array" ref="E178">IFERROR(time_diff_cor(Tabela1[[#This Row],[Largada]],Tabela1[[#This Row],[Chegada]]),"00:20:00:000")</f>
        <v>00:20:00:000</v>
      </c>
      <c r="G178" s="1" t="str" cm="1">
        <f t="array" ref="G178">IF(Tabela1[[#This Row],[N°S]]="","NONE",IF(Tabela1[[#This Row],[N°]]=D177,time_sum(G177,Tabela1[[#This Row],[TEMPO]]),Tabela1[[#This Row],[TEMPO]]))</f>
        <v>NONE</v>
      </c>
      <c r="I178" s="1" t="e">
        <f>VLOOKUP(C178,LARGADA!A:B,2,FALSE)</f>
        <v>#N/A</v>
      </c>
      <c r="J178" s="1" t="e">
        <f>VLOOKUP(C178,CHEGADA!A:B,2,FALSE)</f>
        <v>#N/A</v>
      </c>
    </row>
    <row r="179" spans="4:10">
      <c r="D179" s="2" t="str">
        <f>IFERROR(LEFT(Tabela1[[#This Row],[N°S]],LEN(Tabela1[[#This Row],[N°S]])-1),"")</f>
        <v/>
      </c>
      <c r="E179" s="1" t="str" cm="1">
        <f t="array" ref="E179">IFERROR(time_diff_cor(Tabela1[[#This Row],[Largada]],Tabela1[[#This Row],[Chegada]]),"00:20:00:000")</f>
        <v>00:20:00:000</v>
      </c>
      <c r="G179" s="1" t="str" cm="1">
        <f t="array" ref="G179">IF(Tabela1[[#This Row],[N°S]]="","NONE",IF(Tabela1[[#This Row],[N°]]=D178,time_sum(G178,Tabela1[[#This Row],[TEMPO]]),Tabela1[[#This Row],[TEMPO]]))</f>
        <v>NONE</v>
      </c>
      <c r="I179" s="1" t="e">
        <f>VLOOKUP(C179,LARGADA!A:B,2,FALSE)</f>
        <v>#N/A</v>
      </c>
      <c r="J179" s="1" t="e">
        <f>VLOOKUP(C179,CHEGADA!A:B,2,FALSE)</f>
        <v>#N/A</v>
      </c>
    </row>
    <row r="180" spans="4:10">
      <c r="D180" s="2" t="str">
        <f>IFERROR(LEFT(Tabela1[[#This Row],[N°S]],LEN(Tabela1[[#This Row],[N°S]])-1),"")</f>
        <v/>
      </c>
      <c r="E180" s="1" t="str" cm="1">
        <f t="array" ref="E180">IFERROR(time_diff_cor(Tabela1[[#This Row],[Largada]],Tabela1[[#This Row],[Chegada]]),"00:20:00:000")</f>
        <v>00:20:00:000</v>
      </c>
      <c r="G180" s="1" t="str" cm="1">
        <f t="array" ref="G180">IF(Tabela1[[#This Row],[N°S]]="","NONE",IF(Tabela1[[#This Row],[N°]]=D179,time_sum(G179,Tabela1[[#This Row],[TEMPO]]),Tabela1[[#This Row],[TEMPO]]))</f>
        <v>NONE</v>
      </c>
      <c r="I180" s="1" t="e">
        <f>VLOOKUP(C180,LARGADA!A:B,2,FALSE)</f>
        <v>#N/A</v>
      </c>
      <c r="J180" s="1" t="e">
        <f>VLOOKUP(C180,CHEGADA!A:B,2,FALSE)</f>
        <v>#N/A</v>
      </c>
    </row>
    <row r="181" spans="4:10">
      <c r="D181" s="2" t="str">
        <f>IFERROR(LEFT(Tabela1[[#This Row],[N°S]],LEN(Tabela1[[#This Row],[N°S]])-1),"")</f>
        <v/>
      </c>
      <c r="E181" s="1" t="str" cm="1">
        <f t="array" ref="E181">IFERROR(time_diff_cor(Tabela1[[#This Row],[Largada]],Tabela1[[#This Row],[Chegada]]),"00:20:00:000")</f>
        <v>00:20:00:000</v>
      </c>
      <c r="G181" s="1" t="str" cm="1">
        <f t="array" ref="G181">IF(Tabela1[[#This Row],[N°S]]="","NONE",IF(Tabela1[[#This Row],[N°]]=D180,time_sum(G180,Tabela1[[#This Row],[TEMPO]]),Tabela1[[#This Row],[TEMPO]]))</f>
        <v>NONE</v>
      </c>
      <c r="I181" s="1" t="e">
        <f>VLOOKUP(C181,LARGADA!A:B,2,FALSE)</f>
        <v>#N/A</v>
      </c>
      <c r="J181" s="1" t="e">
        <f>VLOOKUP(C181,CHEGADA!A:B,2,FALSE)</f>
        <v>#N/A</v>
      </c>
    </row>
    <row r="182" spans="4:10">
      <c r="D182" s="2" t="str">
        <f>IFERROR(LEFT(Tabela1[[#This Row],[N°S]],LEN(Tabela1[[#This Row],[N°S]])-1),"")</f>
        <v/>
      </c>
      <c r="E182" s="1" t="str" cm="1">
        <f t="array" ref="E182">IFERROR(time_diff_cor(Tabela1[[#This Row],[Largada]],Tabela1[[#This Row],[Chegada]]),"00:20:00:000")</f>
        <v>00:20:00:000</v>
      </c>
      <c r="G182" s="1" t="str" cm="1">
        <f t="array" ref="G182">IF(Tabela1[[#This Row],[N°S]]="","NONE",IF(Tabela1[[#This Row],[N°]]=D181,time_sum(G181,Tabela1[[#This Row],[TEMPO]]),Tabela1[[#This Row],[TEMPO]]))</f>
        <v>NONE</v>
      </c>
      <c r="I182" s="1" t="e">
        <f>VLOOKUP(C182,LARGADA!A:B,2,FALSE)</f>
        <v>#N/A</v>
      </c>
      <c r="J182" s="1" t="e">
        <f>VLOOKUP(C182,CHEGADA!A:B,2,FALSE)</f>
        <v>#N/A</v>
      </c>
    </row>
    <row r="183" spans="4:10">
      <c r="D183" s="2" t="str">
        <f>IFERROR(LEFT(Tabela1[[#This Row],[N°S]],LEN(Tabela1[[#This Row],[N°S]])-1),"")</f>
        <v/>
      </c>
      <c r="E183" s="1" t="str" cm="1">
        <f t="array" ref="E183">IFERROR(time_diff_cor(Tabela1[[#This Row],[Largada]],Tabela1[[#This Row],[Chegada]]),"00:20:00:000")</f>
        <v>00:20:00:000</v>
      </c>
      <c r="G183" s="1" t="str" cm="1">
        <f t="array" ref="G183">IF(Tabela1[[#This Row],[N°S]]="","NONE",IF(Tabela1[[#This Row],[N°]]=D182,time_sum(G182,Tabela1[[#This Row],[TEMPO]]),Tabela1[[#This Row],[TEMPO]]))</f>
        <v>NONE</v>
      </c>
      <c r="I183" s="1" t="e">
        <f>VLOOKUP(C183,LARGADA!A:B,2,FALSE)</f>
        <v>#N/A</v>
      </c>
      <c r="J183" s="1" t="e">
        <f>VLOOKUP(C183,CHEGADA!A:B,2,FALSE)</f>
        <v>#N/A</v>
      </c>
    </row>
    <row r="184" spans="4:10">
      <c r="D184" s="2" t="str">
        <f>IFERROR(LEFT(Tabela1[[#This Row],[N°S]],LEN(Tabela1[[#This Row],[N°S]])-1),"")</f>
        <v/>
      </c>
      <c r="E184" s="1" t="str" cm="1">
        <f t="array" ref="E184">IFERROR(time_diff_cor(Tabela1[[#This Row],[Largada]],Tabela1[[#This Row],[Chegada]]),"00:20:00:000")</f>
        <v>00:20:00:000</v>
      </c>
      <c r="G184" s="1" t="str" cm="1">
        <f t="array" ref="G184">IF(Tabela1[[#This Row],[N°S]]="","NONE",IF(Tabela1[[#This Row],[N°]]=D183,time_sum(G183,Tabela1[[#This Row],[TEMPO]]),Tabela1[[#This Row],[TEMPO]]))</f>
        <v>NONE</v>
      </c>
      <c r="I184" s="1" t="e">
        <f>VLOOKUP(C184,LARGADA!A:B,2,FALSE)</f>
        <v>#N/A</v>
      </c>
      <c r="J184" s="1" t="e">
        <f>VLOOKUP(C184,CHEGADA!A:B,2,FALSE)</f>
        <v>#N/A</v>
      </c>
    </row>
    <row r="185" spans="4:10">
      <c r="D185" s="2" t="str">
        <f>IFERROR(LEFT(Tabela1[[#This Row],[N°S]],LEN(Tabela1[[#This Row],[N°S]])-1),"")</f>
        <v/>
      </c>
      <c r="E185" s="1" t="str" cm="1">
        <f t="array" ref="E185">IFERROR(time_diff_cor(Tabela1[[#This Row],[Largada]],Tabela1[[#This Row],[Chegada]]),"00:20:00:000")</f>
        <v>00:20:00:000</v>
      </c>
      <c r="G185" s="1" t="str" cm="1">
        <f t="array" ref="G185">IF(Tabela1[[#This Row],[N°S]]="","NONE",IF(Tabela1[[#This Row],[N°]]=D184,time_sum(G184,Tabela1[[#This Row],[TEMPO]]),Tabela1[[#This Row],[TEMPO]]))</f>
        <v>NONE</v>
      </c>
      <c r="I185" s="1" t="e">
        <f>VLOOKUP(C185,LARGADA!A:B,2,FALSE)</f>
        <v>#N/A</v>
      </c>
      <c r="J185" s="1" t="e">
        <f>VLOOKUP(C185,CHEGADA!A:B,2,FALSE)</f>
        <v>#N/A</v>
      </c>
    </row>
    <row r="186" spans="4:10">
      <c r="D186" s="2" t="str">
        <f>IFERROR(LEFT(Tabela1[[#This Row],[N°S]],LEN(Tabela1[[#This Row],[N°S]])-1),"")</f>
        <v/>
      </c>
      <c r="E186" s="1" t="str" cm="1">
        <f t="array" ref="E186">IFERROR(time_diff_cor(Tabela1[[#This Row],[Largada]],Tabela1[[#This Row],[Chegada]]),"00:20:00:000")</f>
        <v>00:20:00:000</v>
      </c>
      <c r="G186" s="1" t="str" cm="1">
        <f t="array" ref="G186">IF(Tabela1[[#This Row],[N°S]]="","NONE",IF(Tabela1[[#This Row],[N°]]=D185,time_sum(G185,Tabela1[[#This Row],[TEMPO]]),Tabela1[[#This Row],[TEMPO]]))</f>
        <v>NONE</v>
      </c>
      <c r="I186" s="1" t="e">
        <f>VLOOKUP(C186,LARGADA!A:B,2,FALSE)</f>
        <v>#N/A</v>
      </c>
      <c r="J186" s="1" t="e">
        <f>VLOOKUP(C186,CHEGADA!A:B,2,FALSE)</f>
        <v>#N/A</v>
      </c>
    </row>
    <row r="187" spans="4:10">
      <c r="D187" s="2" t="str">
        <f>IFERROR(LEFT(Tabela1[[#This Row],[N°S]],LEN(Tabela1[[#This Row],[N°S]])-1),"")</f>
        <v/>
      </c>
      <c r="E187" s="1" t="str" cm="1">
        <f t="array" ref="E187">IFERROR(time_diff_cor(Tabela1[[#This Row],[Largada]],Tabela1[[#This Row],[Chegada]]),"00:20:00:000")</f>
        <v>00:20:00:000</v>
      </c>
      <c r="G187" s="1" t="str" cm="1">
        <f t="array" ref="G187">IF(Tabela1[[#This Row],[N°S]]="","NONE",IF(Tabela1[[#This Row],[N°]]=D186,time_sum(G186,Tabela1[[#This Row],[TEMPO]]),Tabela1[[#This Row],[TEMPO]]))</f>
        <v>NONE</v>
      </c>
      <c r="I187" s="1" t="e">
        <f>VLOOKUP(C187,LARGADA!A:B,2,FALSE)</f>
        <v>#N/A</v>
      </c>
      <c r="J187" s="1" t="e">
        <f>VLOOKUP(C187,CHEGADA!A:B,2,FALSE)</f>
        <v>#N/A</v>
      </c>
    </row>
    <row r="188" spans="4:10">
      <c r="D188" s="2" t="str">
        <f>IFERROR(LEFT(Tabela1[[#This Row],[N°S]],LEN(Tabela1[[#This Row],[N°S]])-1),"")</f>
        <v/>
      </c>
      <c r="E188" s="1" t="str" cm="1">
        <f t="array" ref="E188">IFERROR(time_diff_cor(Tabela1[[#This Row],[Largada]],Tabela1[[#This Row],[Chegada]]),"00:20:00:000")</f>
        <v>00:20:00:000</v>
      </c>
      <c r="G188" s="1" t="str" cm="1">
        <f t="array" ref="G188">IF(Tabela1[[#This Row],[N°S]]="","NONE",IF(Tabela1[[#This Row],[N°]]=D187,time_sum(G187,Tabela1[[#This Row],[TEMPO]]),Tabela1[[#This Row],[TEMPO]]))</f>
        <v>NONE</v>
      </c>
      <c r="I188" s="1" t="e">
        <f>VLOOKUP(C188,LARGADA!A:B,2,FALSE)</f>
        <v>#N/A</v>
      </c>
      <c r="J188" s="1" t="e">
        <f>VLOOKUP(C188,CHEGADA!A:B,2,FALSE)</f>
        <v>#N/A</v>
      </c>
    </row>
    <row r="189" spans="4:10">
      <c r="D189" s="2" t="str">
        <f>IFERROR(LEFT(Tabela1[[#This Row],[N°S]],LEN(Tabela1[[#This Row],[N°S]])-1),"")</f>
        <v/>
      </c>
      <c r="E189" s="1" t="str" cm="1">
        <f t="array" ref="E189">IFERROR(time_diff_cor(Tabela1[[#This Row],[Largada]],Tabela1[[#This Row],[Chegada]]),"00:20:00:000")</f>
        <v>00:20:00:000</v>
      </c>
      <c r="G189" s="1" t="str" cm="1">
        <f t="array" ref="G189">IF(Tabela1[[#This Row],[N°S]]="","NONE",IF(Tabela1[[#This Row],[N°]]=D188,time_sum(G188,Tabela1[[#This Row],[TEMPO]]),Tabela1[[#This Row],[TEMPO]]))</f>
        <v>NONE</v>
      </c>
      <c r="I189" s="1" t="e">
        <f>VLOOKUP(C189,LARGADA!A:B,2,FALSE)</f>
        <v>#N/A</v>
      </c>
      <c r="J189" s="1" t="e">
        <f>VLOOKUP(C189,CHEGADA!A:B,2,FALSE)</f>
        <v>#N/A</v>
      </c>
    </row>
    <row r="190" spans="4:10">
      <c r="D190" s="2" t="str">
        <f>IFERROR(LEFT(Tabela1[[#This Row],[N°S]],LEN(Tabela1[[#This Row],[N°S]])-1),"")</f>
        <v/>
      </c>
      <c r="E190" s="1" t="str" cm="1">
        <f t="array" ref="E190">IFERROR(time_diff_cor(Tabela1[[#This Row],[Largada]],Tabela1[[#This Row],[Chegada]]),"00:20:00:000")</f>
        <v>00:20:00:000</v>
      </c>
      <c r="G190" s="1" t="str" cm="1">
        <f t="array" ref="G190">IF(Tabela1[[#This Row],[N°S]]="","NONE",IF(Tabela1[[#This Row],[N°]]=D189,time_sum(G189,Tabela1[[#This Row],[TEMPO]]),Tabela1[[#This Row],[TEMPO]]))</f>
        <v>NONE</v>
      </c>
      <c r="I190" s="1" t="e">
        <f>VLOOKUP(C190,LARGADA!A:B,2,FALSE)</f>
        <v>#N/A</v>
      </c>
      <c r="J190" s="1" t="e">
        <f>VLOOKUP(C190,CHEGADA!A:B,2,FALSE)</f>
        <v>#N/A</v>
      </c>
    </row>
    <row r="191" spans="4:10">
      <c r="D191" s="2" t="str">
        <f>IFERROR(LEFT(Tabela1[[#This Row],[N°S]],LEN(Tabela1[[#This Row],[N°S]])-1),"")</f>
        <v/>
      </c>
      <c r="E191" s="1" t="str" cm="1">
        <f t="array" ref="E191">IFERROR(time_diff_cor(Tabela1[[#This Row],[Largada]],Tabela1[[#This Row],[Chegada]]),"00:20:00:000")</f>
        <v>00:20:00:000</v>
      </c>
      <c r="G191" s="1" t="str" cm="1">
        <f t="array" ref="G191">IF(Tabela1[[#This Row],[N°S]]="","NONE",IF(Tabela1[[#This Row],[N°]]=D190,time_sum(G190,Tabela1[[#This Row],[TEMPO]]),Tabela1[[#This Row],[TEMPO]]))</f>
        <v>NONE</v>
      </c>
      <c r="I191" s="1" t="e">
        <f>VLOOKUP(C191,LARGADA!A:B,2,FALSE)</f>
        <v>#N/A</v>
      </c>
      <c r="J191" s="1" t="e">
        <f>VLOOKUP(C191,CHEGADA!A:B,2,FALSE)</f>
        <v>#N/A</v>
      </c>
    </row>
    <row r="192" spans="4:10">
      <c r="D192" s="2" t="str">
        <f>IFERROR(LEFT(Tabela1[[#This Row],[N°S]],LEN(Tabela1[[#This Row],[N°S]])-1),"")</f>
        <v/>
      </c>
      <c r="E192" s="1" t="str" cm="1">
        <f t="array" ref="E192">IFERROR(time_diff_cor(Tabela1[[#This Row],[Largada]],Tabela1[[#This Row],[Chegada]]),"00:20:00:000")</f>
        <v>00:20:00:000</v>
      </c>
      <c r="G192" s="1" t="str" cm="1">
        <f t="array" ref="G192">IF(Tabela1[[#This Row],[N°S]]="","NONE",IF(Tabela1[[#This Row],[N°]]=D191,time_sum(G191,Tabela1[[#This Row],[TEMPO]]),Tabela1[[#This Row],[TEMPO]]))</f>
        <v>NONE</v>
      </c>
      <c r="I192" s="1" t="e">
        <f>VLOOKUP(C192,LARGADA!A:B,2,FALSE)</f>
        <v>#N/A</v>
      </c>
      <c r="J192" s="1" t="e">
        <f>VLOOKUP(C192,CHEGADA!A:B,2,FALSE)</f>
        <v>#N/A</v>
      </c>
    </row>
    <row r="193" spans="4:10">
      <c r="D193" s="2" t="str">
        <f>IFERROR(LEFT(Tabela1[[#This Row],[N°S]],LEN(Tabela1[[#This Row],[N°S]])-1),"")</f>
        <v/>
      </c>
      <c r="E193" s="1" t="str" cm="1">
        <f t="array" ref="E193">IFERROR(time_diff_cor(Tabela1[[#This Row],[Largada]],Tabela1[[#This Row],[Chegada]]),"00:20:00:000")</f>
        <v>00:20:00:000</v>
      </c>
      <c r="G193" s="1" t="str" cm="1">
        <f t="array" ref="G193">IF(Tabela1[[#This Row],[N°S]]="","NONE",IF(Tabela1[[#This Row],[N°]]=D192,time_sum(G192,Tabela1[[#This Row],[TEMPO]]),Tabela1[[#This Row],[TEMPO]]))</f>
        <v>NONE</v>
      </c>
      <c r="I193" s="1" t="e">
        <f>VLOOKUP(C193,LARGADA!A:B,2,FALSE)</f>
        <v>#N/A</v>
      </c>
      <c r="J193" s="1" t="e">
        <f>VLOOKUP(C193,CHEGADA!A:B,2,FALSE)</f>
        <v>#N/A</v>
      </c>
    </row>
    <row r="194" spans="4:10">
      <c r="D194" s="2" t="str">
        <f>IFERROR(LEFT(Tabela1[[#This Row],[N°S]],LEN(Tabela1[[#This Row],[N°S]])-1),"")</f>
        <v/>
      </c>
      <c r="E194" s="1" t="str" cm="1">
        <f t="array" ref="E194">IFERROR(time_diff_cor(Tabela1[[#This Row],[Largada]],Tabela1[[#This Row],[Chegada]]),"00:20:00:000")</f>
        <v>00:20:00:000</v>
      </c>
      <c r="G194" s="1" t="str" cm="1">
        <f t="array" ref="G194">IF(Tabela1[[#This Row],[N°S]]="","NONE",IF(Tabela1[[#This Row],[N°]]=D193,time_sum(G193,Tabela1[[#This Row],[TEMPO]]),Tabela1[[#This Row],[TEMPO]]))</f>
        <v>NONE</v>
      </c>
      <c r="I194" s="1" t="e">
        <f>VLOOKUP(C194,LARGADA!A:B,2,FALSE)</f>
        <v>#N/A</v>
      </c>
      <c r="J194" s="1" t="e">
        <f>VLOOKUP(C194,CHEGADA!A:B,2,FALSE)</f>
        <v>#N/A</v>
      </c>
    </row>
    <row r="195" spans="4:10">
      <c r="D195" s="2" t="str">
        <f>IFERROR(LEFT(Tabela1[[#This Row],[N°S]],LEN(Tabela1[[#This Row],[N°S]])-1),"")</f>
        <v/>
      </c>
      <c r="E195" s="1" t="str" cm="1">
        <f t="array" ref="E195">IFERROR(time_diff_cor(Tabela1[[#This Row],[Largada]],Tabela1[[#This Row],[Chegada]]),"00:20:00:000")</f>
        <v>00:20:00:000</v>
      </c>
      <c r="G195" s="1" t="str" cm="1">
        <f t="array" ref="G195">IF(Tabela1[[#This Row],[N°S]]="","NONE",IF(Tabela1[[#This Row],[N°]]=D194,time_sum(G194,Tabela1[[#This Row],[TEMPO]]),Tabela1[[#This Row],[TEMPO]]))</f>
        <v>NONE</v>
      </c>
      <c r="I195" s="1" t="e">
        <f>VLOOKUP(C195,LARGADA!A:B,2,FALSE)</f>
        <v>#N/A</v>
      </c>
      <c r="J195" s="1" t="e">
        <f>VLOOKUP(C195,CHEGADA!A:B,2,FALSE)</f>
        <v>#N/A</v>
      </c>
    </row>
    <row r="196" spans="4:10">
      <c r="D196" s="2" t="str">
        <f>IFERROR(LEFT(Tabela1[[#This Row],[N°S]],LEN(Tabela1[[#This Row],[N°S]])-1),"")</f>
        <v/>
      </c>
      <c r="E196" s="1" t="str" cm="1">
        <f t="array" ref="E196">IFERROR(time_diff_cor(Tabela1[[#This Row],[Largada]],Tabela1[[#This Row],[Chegada]]),"00:20:00:000")</f>
        <v>00:20:00:000</v>
      </c>
      <c r="G196" s="1" t="str" cm="1">
        <f t="array" ref="G196">IF(Tabela1[[#This Row],[N°S]]="","NONE",IF(Tabela1[[#This Row],[N°]]=D195,time_sum(G195,Tabela1[[#This Row],[TEMPO]]),Tabela1[[#This Row],[TEMPO]]))</f>
        <v>NONE</v>
      </c>
      <c r="I196" s="1" t="e">
        <f>VLOOKUP(C196,LARGADA!A:B,2,FALSE)</f>
        <v>#N/A</v>
      </c>
      <c r="J196" s="1" t="e">
        <f>VLOOKUP(C196,CHEGADA!A:B,2,FALSE)</f>
        <v>#N/A</v>
      </c>
    </row>
    <row r="197" spans="4:10">
      <c r="D197" s="2" t="str">
        <f>IFERROR(LEFT(Tabela1[[#This Row],[N°S]],LEN(Tabela1[[#This Row],[N°S]])-1),"")</f>
        <v/>
      </c>
      <c r="E197" s="1" t="str" cm="1">
        <f t="array" ref="E197">IFERROR(time_diff_cor(Tabela1[[#This Row],[Largada]],Tabela1[[#This Row],[Chegada]]),"00:20:00:000")</f>
        <v>00:20:00:000</v>
      </c>
      <c r="G197" s="1" t="str" cm="1">
        <f t="array" ref="G197">IF(Tabela1[[#This Row],[N°S]]="","NONE",IF(Tabela1[[#This Row],[N°]]=D196,time_sum(G196,Tabela1[[#This Row],[TEMPO]]),Tabela1[[#This Row],[TEMPO]]))</f>
        <v>NONE</v>
      </c>
      <c r="I197" s="1" t="e">
        <f>VLOOKUP(C197,LARGADA!A:B,2,FALSE)</f>
        <v>#N/A</v>
      </c>
      <c r="J197" s="1" t="e">
        <f>VLOOKUP(C197,CHEGADA!A:B,2,FALSE)</f>
        <v>#N/A</v>
      </c>
    </row>
    <row r="198" spans="4:10">
      <c r="D198" s="2" t="str">
        <f>IFERROR(LEFT(Tabela1[[#This Row],[N°S]],LEN(Tabela1[[#This Row],[N°S]])-1),"")</f>
        <v/>
      </c>
      <c r="E198" s="1" t="str" cm="1">
        <f t="array" ref="E198">IFERROR(time_diff_cor(Tabela1[[#This Row],[Largada]],Tabela1[[#This Row],[Chegada]]),"00:20:00:000")</f>
        <v>00:20:00:000</v>
      </c>
      <c r="G198" s="1" t="str" cm="1">
        <f t="array" ref="G198">IF(Tabela1[[#This Row],[N°S]]="","NONE",IF(Tabela1[[#This Row],[N°]]=D197,time_sum(G197,Tabela1[[#This Row],[TEMPO]]),Tabela1[[#This Row],[TEMPO]]))</f>
        <v>NONE</v>
      </c>
      <c r="I198" s="1" t="e">
        <f>VLOOKUP(C198,LARGADA!A:B,2,FALSE)</f>
        <v>#N/A</v>
      </c>
      <c r="J198" s="1" t="e">
        <f>VLOOKUP(C198,CHEGADA!A:B,2,FALSE)</f>
        <v>#N/A</v>
      </c>
    </row>
    <row r="199" spans="4:10">
      <c r="D199" s="2" t="str">
        <f>IFERROR(LEFT(Tabela1[[#This Row],[N°S]],LEN(Tabela1[[#This Row],[N°S]])-1),"")</f>
        <v/>
      </c>
      <c r="E199" s="1" t="str" cm="1">
        <f t="array" ref="E199">IFERROR(time_diff_cor(Tabela1[[#This Row],[Largada]],Tabela1[[#This Row],[Chegada]]),"00:20:00:000")</f>
        <v>00:20:00:000</v>
      </c>
      <c r="G199" s="1" t="str" cm="1">
        <f t="array" ref="G199">IF(Tabela1[[#This Row],[N°S]]="","NONE",IF(Tabela1[[#This Row],[N°]]=D198,time_sum(G198,Tabela1[[#This Row],[TEMPO]]),Tabela1[[#This Row],[TEMPO]]))</f>
        <v>NONE</v>
      </c>
      <c r="I199" s="1" t="e">
        <f>VLOOKUP(C199,LARGADA!A:B,2,FALSE)</f>
        <v>#N/A</v>
      </c>
      <c r="J199" s="1" t="e">
        <f>VLOOKUP(C199,CHEGADA!A:B,2,FALSE)</f>
        <v>#N/A</v>
      </c>
    </row>
    <row r="200" spans="4:10">
      <c r="D200" s="2" t="str">
        <f>IFERROR(LEFT(Tabela1[[#This Row],[N°S]],LEN(Tabela1[[#This Row],[N°S]])-1),"")</f>
        <v/>
      </c>
      <c r="E200" s="1" t="str" cm="1">
        <f t="array" ref="E200">IFERROR(time_diff_cor(Tabela1[[#This Row],[Largada]],Tabela1[[#This Row],[Chegada]]),"00:20:00:000")</f>
        <v>00:20:00:000</v>
      </c>
      <c r="G200" s="1" t="str" cm="1">
        <f t="array" ref="G200">IF(Tabela1[[#This Row],[N°S]]="","NONE",IF(Tabela1[[#This Row],[N°]]=D199,time_sum(G199,Tabela1[[#This Row],[TEMPO]]),Tabela1[[#This Row],[TEMPO]]))</f>
        <v>NONE</v>
      </c>
      <c r="I200" s="1" t="e">
        <f>VLOOKUP(C200,LARGADA!A:B,2,FALSE)</f>
        <v>#N/A</v>
      </c>
      <c r="J200" s="1" t="e">
        <f>VLOOKUP(C200,CHEGADA!A:B,2,FALSE)</f>
        <v>#N/A</v>
      </c>
    </row>
    <row r="201" spans="4:10">
      <c r="D201" s="2" t="str">
        <f>IFERROR(LEFT(Tabela1[[#This Row],[N°S]],LEN(Tabela1[[#This Row],[N°S]])-1),"")</f>
        <v/>
      </c>
      <c r="E201" s="1" t="str" cm="1">
        <f t="array" ref="E201">IFERROR(time_diff_cor(Tabela1[[#This Row],[Largada]],Tabela1[[#This Row],[Chegada]]),"00:20:00:000")</f>
        <v>00:20:00:000</v>
      </c>
      <c r="G201" s="1" t="str" cm="1">
        <f t="array" ref="G201">IF(Tabela1[[#This Row],[N°S]]="","NONE",IF(Tabela1[[#This Row],[N°]]=D200,time_sum(G200,Tabela1[[#This Row],[TEMPO]]),Tabela1[[#This Row],[TEMPO]]))</f>
        <v>NONE</v>
      </c>
      <c r="I201" s="1" t="e">
        <f>VLOOKUP(C201,LARGADA!A:B,2,FALSE)</f>
        <v>#N/A</v>
      </c>
      <c r="J201" s="1" t="e">
        <f>VLOOKUP(C201,CHEGADA!A:B,2,FALSE)</f>
        <v>#N/A</v>
      </c>
    </row>
    <row r="202" spans="4:10">
      <c r="D202" s="2" t="str">
        <f>IFERROR(LEFT(Tabela1[[#This Row],[N°S]],LEN(Tabela1[[#This Row],[N°S]])-1),"")</f>
        <v/>
      </c>
      <c r="E202" s="1" t="str" cm="1">
        <f t="array" ref="E202">IFERROR(time_diff_cor(Tabela1[[#This Row],[Largada]],Tabela1[[#This Row],[Chegada]]),"00:20:00:000")</f>
        <v>00:20:00:000</v>
      </c>
      <c r="G202" s="1" t="str" cm="1">
        <f t="array" ref="G202">IF(Tabela1[[#This Row],[N°S]]="","NONE",IF(Tabela1[[#This Row],[N°]]=D201,time_sum(G201,Tabela1[[#This Row],[TEMPO]]),Tabela1[[#This Row],[TEMPO]]))</f>
        <v>NONE</v>
      </c>
      <c r="I202" s="1" t="e">
        <f>VLOOKUP(C202,LARGADA!A:B,2,FALSE)</f>
        <v>#N/A</v>
      </c>
      <c r="J202" s="1" t="e">
        <f>VLOOKUP(C202,CHEGADA!A:B,2,FALSE)</f>
        <v>#N/A</v>
      </c>
    </row>
    <row r="203" spans="4:10">
      <c r="D203" s="2" t="str">
        <f>IFERROR(LEFT(Tabela1[[#This Row],[N°S]],LEN(Tabela1[[#This Row],[N°S]])-1),"")</f>
        <v/>
      </c>
      <c r="E203" s="1" t="str" cm="1">
        <f t="array" ref="E203">IFERROR(time_diff_cor(Tabela1[[#This Row],[Largada]],Tabela1[[#This Row],[Chegada]]),"00:20:00:000")</f>
        <v>00:20:00:000</v>
      </c>
      <c r="G203" s="1" t="str" cm="1">
        <f t="array" ref="G203">IF(Tabela1[[#This Row],[N°S]]="","NONE",IF(Tabela1[[#This Row],[N°]]=D202,time_sum(G202,Tabela1[[#This Row],[TEMPO]]),Tabela1[[#This Row],[TEMPO]]))</f>
        <v>NONE</v>
      </c>
      <c r="I203" s="1" t="e">
        <f>VLOOKUP(C203,LARGADA!A:B,2,FALSE)</f>
        <v>#N/A</v>
      </c>
      <c r="J203" s="1" t="e">
        <f>VLOOKUP(C203,CHEGADA!A:B,2,FALSE)</f>
        <v>#N/A</v>
      </c>
    </row>
    <row r="204" spans="4:10">
      <c r="D204" s="2" t="str">
        <f>IFERROR(LEFT(Tabela1[[#This Row],[N°S]],LEN(Tabela1[[#This Row],[N°S]])-1),"")</f>
        <v/>
      </c>
      <c r="E204" s="1" t="str" cm="1">
        <f t="array" ref="E204">IFERROR(time_diff_cor(Tabela1[[#This Row],[Largada]],Tabela1[[#This Row],[Chegada]]),"00:20:00:000")</f>
        <v>00:20:00:000</v>
      </c>
      <c r="G204" s="1" t="str" cm="1">
        <f t="array" ref="G204">IF(Tabela1[[#This Row],[N°S]]="","NONE",IF(Tabela1[[#This Row],[N°]]=D203,time_sum(G203,Tabela1[[#This Row],[TEMPO]]),Tabela1[[#This Row],[TEMPO]]))</f>
        <v>NONE</v>
      </c>
      <c r="I204" s="1" t="e">
        <f>VLOOKUP(C204,LARGADA!A:B,2,FALSE)</f>
        <v>#N/A</v>
      </c>
      <c r="J204" s="1" t="e">
        <f>VLOOKUP(C204,CHEGADA!A:B,2,FALSE)</f>
        <v>#N/A</v>
      </c>
    </row>
    <row r="205" spans="4:10">
      <c r="D205" s="2" t="str">
        <f>IFERROR(LEFT(Tabela1[[#This Row],[N°S]],LEN(Tabela1[[#This Row],[N°S]])-1),"")</f>
        <v/>
      </c>
      <c r="E205" s="1" t="str" cm="1">
        <f t="array" ref="E205">IFERROR(time_diff_cor(Tabela1[[#This Row],[Largada]],Tabela1[[#This Row],[Chegada]]),"00:20:00:000")</f>
        <v>00:20:00:000</v>
      </c>
      <c r="G205" s="1" t="str" cm="1">
        <f t="array" ref="G205">IF(Tabela1[[#This Row],[N°S]]="","NONE",IF(Tabela1[[#This Row],[N°]]=D204,time_sum(G204,Tabela1[[#This Row],[TEMPO]]),Tabela1[[#This Row],[TEMPO]]))</f>
        <v>NONE</v>
      </c>
      <c r="I205" s="1" t="e">
        <f>VLOOKUP(C205,LARGADA!A:B,2,FALSE)</f>
        <v>#N/A</v>
      </c>
      <c r="J205" s="1" t="e">
        <f>VLOOKUP(C205,CHEGADA!A:B,2,FALSE)</f>
        <v>#N/A</v>
      </c>
    </row>
    <row r="206" spans="4:10">
      <c r="D206" s="2" t="str">
        <f>IFERROR(LEFT(Tabela1[[#This Row],[N°S]],LEN(Tabela1[[#This Row],[N°S]])-1),"")</f>
        <v/>
      </c>
      <c r="E206" s="1" t="str" cm="1">
        <f t="array" ref="E206">IFERROR(time_diff_cor(Tabela1[[#This Row],[Largada]],Tabela1[[#This Row],[Chegada]]),"00:20:00:000")</f>
        <v>00:20:00:000</v>
      </c>
      <c r="G206" s="1" t="str" cm="1">
        <f t="array" ref="G206">IF(Tabela1[[#This Row],[N°S]]="","NONE",IF(Tabela1[[#This Row],[N°]]=D205,time_sum(G205,Tabela1[[#This Row],[TEMPO]]),Tabela1[[#This Row],[TEMPO]]))</f>
        <v>NONE</v>
      </c>
      <c r="I206" s="1" t="e">
        <f>VLOOKUP(C206,LARGADA!A:B,2,FALSE)</f>
        <v>#N/A</v>
      </c>
      <c r="J206" s="1" t="e">
        <f>VLOOKUP(C206,CHEGADA!A:B,2,FALSE)</f>
        <v>#N/A</v>
      </c>
    </row>
    <row r="207" spans="4:10">
      <c r="D207" s="2" t="str">
        <f>IFERROR(LEFT(Tabela1[[#This Row],[N°S]],LEN(Tabela1[[#This Row],[N°S]])-1),"")</f>
        <v/>
      </c>
      <c r="E207" s="1" t="str" cm="1">
        <f t="array" ref="E207">IFERROR(time_diff_cor(Tabela1[[#This Row],[Largada]],Tabela1[[#This Row],[Chegada]]),"00:20:00:000")</f>
        <v>00:20:00:000</v>
      </c>
      <c r="G207" s="1" t="str" cm="1">
        <f t="array" ref="G207">IF(Tabela1[[#This Row],[N°S]]="","NONE",IF(Tabela1[[#This Row],[N°]]=D206,time_sum(G206,Tabela1[[#This Row],[TEMPO]]),Tabela1[[#This Row],[TEMPO]]))</f>
        <v>NONE</v>
      </c>
      <c r="I207" s="1" t="e">
        <f>VLOOKUP(C207,LARGADA!A:B,2,FALSE)</f>
        <v>#N/A</v>
      </c>
      <c r="J207" s="1" t="e">
        <f>VLOOKUP(C207,CHEGADA!A:B,2,FALSE)</f>
        <v>#N/A</v>
      </c>
    </row>
    <row r="208" spans="4:10">
      <c r="D208" s="2" t="str">
        <f>IFERROR(LEFT(Tabela1[[#This Row],[N°S]],LEN(Tabela1[[#This Row],[N°S]])-1),"")</f>
        <v/>
      </c>
      <c r="E208" s="1" t="str" cm="1">
        <f t="array" ref="E208">IFERROR(time_diff_cor(Tabela1[[#This Row],[Largada]],Tabela1[[#This Row],[Chegada]]),"00:20:00:000")</f>
        <v>00:20:00:000</v>
      </c>
      <c r="G208" s="1" t="str" cm="1">
        <f t="array" ref="G208">IF(Tabela1[[#This Row],[N°S]]="","NONE",IF(Tabela1[[#This Row],[N°]]=D207,time_sum(G207,Tabela1[[#This Row],[TEMPO]]),Tabela1[[#This Row],[TEMPO]]))</f>
        <v>NONE</v>
      </c>
      <c r="I208" s="1" t="e">
        <f>VLOOKUP(C208,LARGADA!A:B,2,FALSE)</f>
        <v>#N/A</v>
      </c>
      <c r="J208" s="1" t="e">
        <f>VLOOKUP(C208,CHEGADA!A:B,2,FALSE)</f>
        <v>#N/A</v>
      </c>
    </row>
    <row r="209" spans="4:10">
      <c r="D209" s="2" t="str">
        <f>IFERROR(LEFT(Tabela1[[#This Row],[N°S]],LEN(Tabela1[[#This Row],[N°S]])-1),"")</f>
        <v/>
      </c>
      <c r="E209" s="1" t="str" cm="1">
        <f t="array" ref="E209">IFERROR(time_diff_cor(Tabela1[[#This Row],[Largada]],Tabela1[[#This Row],[Chegada]]),"00:20:00:000")</f>
        <v>00:20:00:000</v>
      </c>
      <c r="G209" s="1" t="str" cm="1">
        <f t="array" ref="G209">IF(Tabela1[[#This Row],[N°S]]="","NONE",IF(Tabela1[[#This Row],[N°]]=D208,time_sum(G208,Tabela1[[#This Row],[TEMPO]]),Tabela1[[#This Row],[TEMPO]]))</f>
        <v>NONE</v>
      </c>
      <c r="I209" s="1" t="e">
        <f>VLOOKUP(C209,LARGADA!A:B,2,FALSE)</f>
        <v>#N/A</v>
      </c>
      <c r="J209" s="1" t="e">
        <f>VLOOKUP(C209,CHEGADA!A:B,2,FALSE)</f>
        <v>#N/A</v>
      </c>
    </row>
    <row r="210" spans="4:10">
      <c r="D210" s="2" t="str">
        <f>IFERROR(LEFT(Tabela1[[#This Row],[N°S]],LEN(Tabela1[[#This Row],[N°S]])-1),"")</f>
        <v/>
      </c>
      <c r="E210" s="1" t="str" cm="1">
        <f t="array" ref="E210">IFERROR(time_diff_cor(Tabela1[[#This Row],[Largada]],Tabela1[[#This Row],[Chegada]]),"00:20:00:000")</f>
        <v>00:20:00:000</v>
      </c>
      <c r="G210" s="1" t="str" cm="1">
        <f t="array" ref="G210">IF(Tabela1[[#This Row],[N°S]]="","NONE",IF(Tabela1[[#This Row],[N°]]=D209,time_sum(G209,Tabela1[[#This Row],[TEMPO]]),Tabela1[[#This Row],[TEMPO]]))</f>
        <v>NONE</v>
      </c>
      <c r="I210" s="1" t="e">
        <f>VLOOKUP(C210,LARGADA!A:B,2,FALSE)</f>
        <v>#N/A</v>
      </c>
      <c r="J210" s="1" t="e">
        <f>VLOOKUP(C210,CHEGADA!A:B,2,FALSE)</f>
        <v>#N/A</v>
      </c>
    </row>
    <row r="211" spans="4:10">
      <c r="D211" s="2" t="str">
        <f>IFERROR(LEFT(Tabela1[[#This Row],[N°S]],LEN(Tabela1[[#This Row],[N°S]])-1),"")</f>
        <v/>
      </c>
      <c r="E211" s="1" t="str" cm="1">
        <f t="array" ref="E211">IFERROR(time_diff_cor(Tabela1[[#This Row],[Largada]],Tabela1[[#This Row],[Chegada]]),"00:20:00:000")</f>
        <v>00:20:00:000</v>
      </c>
      <c r="G211" s="1" t="str" cm="1">
        <f t="array" ref="G211">IF(Tabela1[[#This Row],[N°S]]="","NONE",IF(Tabela1[[#This Row],[N°]]=D210,time_sum(G210,Tabela1[[#This Row],[TEMPO]]),Tabela1[[#This Row],[TEMPO]]))</f>
        <v>NONE</v>
      </c>
      <c r="I211" s="1" t="e">
        <f>VLOOKUP(C211,LARGADA!A:B,2,FALSE)</f>
        <v>#N/A</v>
      </c>
      <c r="J211" s="1" t="e">
        <f>VLOOKUP(C211,CHEGADA!A:B,2,FALSE)</f>
        <v>#N/A</v>
      </c>
    </row>
    <row r="212" spans="4:10">
      <c r="D212" s="2" t="str">
        <f>IFERROR(LEFT(Tabela1[[#This Row],[N°S]],LEN(Tabela1[[#This Row],[N°S]])-1),"")</f>
        <v/>
      </c>
      <c r="E212" s="1" t="str" cm="1">
        <f t="array" ref="E212">IFERROR(time_diff_cor(Tabela1[[#This Row],[Largada]],Tabela1[[#This Row],[Chegada]]),"00:20:00:000")</f>
        <v>00:20:00:000</v>
      </c>
      <c r="G212" s="1" t="str" cm="1">
        <f t="array" ref="G212">IF(Tabela1[[#This Row],[N°S]]="","NONE",IF(Tabela1[[#This Row],[N°]]=D211,time_sum(G211,Tabela1[[#This Row],[TEMPO]]),Tabela1[[#This Row],[TEMPO]]))</f>
        <v>NONE</v>
      </c>
      <c r="I212" s="1" t="e">
        <f>VLOOKUP(C212,LARGADA!A:B,2,FALSE)</f>
        <v>#N/A</v>
      </c>
      <c r="J212" s="1" t="e">
        <f>VLOOKUP(C212,CHEGADA!A:B,2,FALSE)</f>
        <v>#N/A</v>
      </c>
    </row>
    <row r="213" spans="4:10">
      <c r="D213" s="2" t="str">
        <f>IFERROR(LEFT(Tabela1[[#This Row],[N°S]],LEN(Tabela1[[#This Row],[N°S]])-1),"")</f>
        <v/>
      </c>
      <c r="E213" s="1" t="str" cm="1">
        <f t="array" ref="E213">IFERROR(time_diff_cor(Tabela1[[#This Row],[Largada]],Tabela1[[#This Row],[Chegada]]),"00:20:00:000")</f>
        <v>00:20:00:000</v>
      </c>
      <c r="G213" s="1" t="str" cm="1">
        <f t="array" ref="G213">IF(Tabela1[[#This Row],[N°S]]="","NONE",IF(Tabela1[[#This Row],[N°]]=D212,time_sum(G212,Tabela1[[#This Row],[TEMPO]]),Tabela1[[#This Row],[TEMPO]]))</f>
        <v>NONE</v>
      </c>
      <c r="I213" s="1" t="e">
        <f>VLOOKUP(C213,LARGADA!A:B,2,FALSE)</f>
        <v>#N/A</v>
      </c>
      <c r="J213" s="1" t="e">
        <f>VLOOKUP(C213,CHEGADA!A:B,2,FALSE)</f>
        <v>#N/A</v>
      </c>
    </row>
    <row r="214" spans="4:10">
      <c r="D214" s="2" t="str">
        <f>IFERROR(LEFT(Tabela1[[#This Row],[N°S]],LEN(Tabela1[[#This Row],[N°S]])-1),"")</f>
        <v/>
      </c>
      <c r="E214" s="1" t="str" cm="1">
        <f t="array" ref="E214">IFERROR(time_diff_cor(Tabela1[[#This Row],[Largada]],Tabela1[[#This Row],[Chegada]]),"00:20:00:000")</f>
        <v>00:20:00:000</v>
      </c>
      <c r="G214" s="1" t="str" cm="1">
        <f t="array" ref="G214">IF(Tabela1[[#This Row],[N°S]]="","NONE",IF(Tabela1[[#This Row],[N°]]=D213,time_sum(G213,Tabela1[[#This Row],[TEMPO]]),Tabela1[[#This Row],[TEMPO]]))</f>
        <v>NONE</v>
      </c>
      <c r="I214" s="1" t="e">
        <f>VLOOKUP(C214,LARGADA!A:B,2,FALSE)</f>
        <v>#N/A</v>
      </c>
      <c r="J214" s="1" t="e">
        <f>VLOOKUP(C214,CHEGADA!A:B,2,FALSE)</f>
        <v>#N/A</v>
      </c>
    </row>
    <row r="215" spans="4:10">
      <c r="D215" s="2" t="str">
        <f>IFERROR(LEFT(Tabela1[[#This Row],[N°S]],LEN(Tabela1[[#This Row],[N°S]])-1),"")</f>
        <v/>
      </c>
      <c r="E215" s="1" t="str" cm="1">
        <f t="array" ref="E215">IFERROR(time_diff_cor(Tabela1[[#This Row],[Largada]],Tabela1[[#This Row],[Chegada]]),"00:20:00:000")</f>
        <v>00:20:00:000</v>
      </c>
      <c r="G215" s="1" t="str" cm="1">
        <f t="array" ref="G215">IF(Tabela1[[#This Row],[N°S]]="","NONE",IF(Tabela1[[#This Row],[N°]]=D214,time_sum(G214,Tabela1[[#This Row],[TEMPO]]),Tabela1[[#This Row],[TEMPO]]))</f>
        <v>NONE</v>
      </c>
      <c r="I215" s="1" t="e">
        <f>VLOOKUP(C215,LARGADA!A:B,2,FALSE)</f>
        <v>#N/A</v>
      </c>
      <c r="J215" s="1" t="e">
        <f>VLOOKUP(C215,CHEGADA!A:B,2,FALSE)</f>
        <v>#N/A</v>
      </c>
    </row>
    <row r="216" spans="4:10">
      <c r="D216" s="2" t="str">
        <f>IFERROR(LEFT(Tabela1[[#This Row],[N°S]],LEN(Tabela1[[#This Row],[N°S]])-1),"")</f>
        <v/>
      </c>
      <c r="E216" s="1" t="str" cm="1">
        <f t="array" ref="E216">IFERROR(time_diff_cor(Tabela1[[#This Row],[Largada]],Tabela1[[#This Row],[Chegada]]),"00:20:00:000")</f>
        <v>00:20:00:000</v>
      </c>
      <c r="G216" s="1" t="str" cm="1">
        <f t="array" ref="G216">IF(Tabela1[[#This Row],[N°S]]="","NONE",IF(Tabela1[[#This Row],[N°]]=D215,time_sum(G215,Tabela1[[#This Row],[TEMPO]]),Tabela1[[#This Row],[TEMPO]]))</f>
        <v>NONE</v>
      </c>
      <c r="I216" s="1" t="e">
        <f>VLOOKUP(C216,LARGADA!A:B,2,FALSE)</f>
        <v>#N/A</v>
      </c>
      <c r="J216" s="1" t="e">
        <f>VLOOKUP(C216,CHEGADA!A:B,2,FALSE)</f>
        <v>#N/A</v>
      </c>
    </row>
    <row r="217" spans="4:10">
      <c r="D217" s="2" t="str">
        <f>IFERROR(LEFT(Tabela1[[#This Row],[N°S]],LEN(Tabela1[[#This Row],[N°S]])-1),"")</f>
        <v/>
      </c>
      <c r="E217" s="1" t="str" cm="1">
        <f t="array" ref="E217">IFERROR(time_diff_cor(Tabela1[[#This Row],[Largada]],Tabela1[[#This Row],[Chegada]]),"00:20:00:000")</f>
        <v>00:20:00:000</v>
      </c>
      <c r="G217" s="1" t="str" cm="1">
        <f t="array" ref="G217">IF(Tabela1[[#This Row],[N°S]]="","NONE",IF(Tabela1[[#This Row],[N°]]=D216,time_sum(G216,Tabela1[[#This Row],[TEMPO]]),Tabela1[[#This Row],[TEMPO]]))</f>
        <v>NONE</v>
      </c>
      <c r="I217" s="1" t="e">
        <f>VLOOKUP(C217,LARGADA!A:B,2,FALSE)</f>
        <v>#N/A</v>
      </c>
      <c r="J217" s="1" t="e">
        <f>VLOOKUP(C217,CHEGADA!A:B,2,FALSE)</f>
        <v>#N/A</v>
      </c>
    </row>
    <row r="218" spans="4:10">
      <c r="D218" s="2" t="str">
        <f>IFERROR(LEFT(Tabela1[[#This Row],[N°S]],LEN(Tabela1[[#This Row],[N°S]])-1),"")</f>
        <v/>
      </c>
      <c r="E218" s="1" t="str" cm="1">
        <f t="array" ref="E218">IFERROR(time_diff_cor(Tabela1[[#This Row],[Largada]],Tabela1[[#This Row],[Chegada]]),"00:20:00:000")</f>
        <v>00:20:00:000</v>
      </c>
      <c r="G218" s="1" t="str" cm="1">
        <f t="array" ref="G218">IF(Tabela1[[#This Row],[N°S]]="","NONE",IF(Tabela1[[#This Row],[N°]]=D217,time_sum(G217,Tabela1[[#This Row],[TEMPO]]),Tabela1[[#This Row],[TEMPO]]))</f>
        <v>NONE</v>
      </c>
      <c r="I218" s="1" t="e">
        <f>VLOOKUP(C218,LARGADA!A:B,2,FALSE)</f>
        <v>#N/A</v>
      </c>
      <c r="J218" s="1" t="e">
        <f>VLOOKUP(C218,CHEGADA!A:B,2,FALSE)</f>
        <v>#N/A</v>
      </c>
    </row>
    <row r="219" spans="4:10">
      <c r="D219" s="2" t="str">
        <f>IFERROR(LEFT(Tabela1[[#This Row],[N°S]],LEN(Tabela1[[#This Row],[N°S]])-1),"")</f>
        <v/>
      </c>
      <c r="E219" s="1" t="str" cm="1">
        <f t="array" ref="E219">IFERROR(time_diff_cor(Tabela1[[#This Row],[Largada]],Tabela1[[#This Row],[Chegada]]),"00:20:00:000")</f>
        <v>00:20:00:000</v>
      </c>
      <c r="G219" s="1" t="str" cm="1">
        <f t="array" ref="G219">IF(Tabela1[[#This Row],[N°S]]="","NONE",IF(Tabela1[[#This Row],[N°]]=D218,time_sum(G218,Tabela1[[#This Row],[TEMPO]]),Tabela1[[#This Row],[TEMPO]]))</f>
        <v>NONE</v>
      </c>
      <c r="I219" s="1" t="e">
        <f>VLOOKUP(C219,LARGADA!A:B,2,FALSE)</f>
        <v>#N/A</v>
      </c>
      <c r="J219" s="1" t="e">
        <f>VLOOKUP(C219,CHEGADA!A:B,2,FALSE)</f>
        <v>#N/A</v>
      </c>
    </row>
    <row r="220" spans="4:10">
      <c r="D220" s="2" t="str">
        <f>IFERROR(LEFT(Tabela1[[#This Row],[N°S]],LEN(Tabela1[[#This Row],[N°S]])-1),"")</f>
        <v/>
      </c>
      <c r="E220" s="1" t="str" cm="1">
        <f t="array" ref="E220">IFERROR(time_diff_cor(Tabela1[[#This Row],[Largada]],Tabela1[[#This Row],[Chegada]]),"00:20:00:000")</f>
        <v>00:20:00:000</v>
      </c>
      <c r="G220" s="1" t="str" cm="1">
        <f t="array" ref="G220">IF(Tabela1[[#This Row],[N°S]]="","NONE",IF(Tabela1[[#This Row],[N°]]=D219,time_sum(G219,Tabela1[[#This Row],[TEMPO]]),Tabela1[[#This Row],[TEMPO]]))</f>
        <v>NONE</v>
      </c>
      <c r="I220" s="1" t="e">
        <f>VLOOKUP(C220,LARGADA!A:B,2,FALSE)</f>
        <v>#N/A</v>
      </c>
      <c r="J220" s="1" t="e">
        <f>VLOOKUP(C220,CHEGADA!A:B,2,FALSE)</f>
        <v>#N/A</v>
      </c>
    </row>
    <row r="221" spans="4:10">
      <c r="D221" s="2" t="str">
        <f>IFERROR(LEFT(Tabela1[[#This Row],[N°S]],LEN(Tabela1[[#This Row],[N°S]])-1),"")</f>
        <v/>
      </c>
      <c r="E221" s="1" t="str" cm="1">
        <f t="array" ref="E221">IFERROR(time_diff_cor(Tabela1[[#This Row],[Largada]],Tabela1[[#This Row],[Chegada]]),"00:20:00:000")</f>
        <v>00:20:00:000</v>
      </c>
      <c r="G221" s="1" t="str" cm="1">
        <f t="array" ref="G221">IF(Tabela1[[#This Row],[N°S]]="","NONE",IF(Tabela1[[#This Row],[N°]]=D220,time_sum(G220,Tabela1[[#This Row],[TEMPO]]),Tabela1[[#This Row],[TEMPO]]))</f>
        <v>NONE</v>
      </c>
      <c r="I221" s="1" t="e">
        <f>VLOOKUP(C221,LARGADA!A:B,2,FALSE)</f>
        <v>#N/A</v>
      </c>
      <c r="J221" s="1" t="e">
        <f>VLOOKUP(C221,CHEGADA!A:B,2,FALSE)</f>
        <v>#N/A</v>
      </c>
    </row>
    <row r="222" spans="4:10">
      <c r="D222" s="2" t="str">
        <f>IFERROR(LEFT(Tabela1[[#This Row],[N°S]],LEN(Tabela1[[#This Row],[N°S]])-1),"")</f>
        <v/>
      </c>
      <c r="E222" s="1" t="str" cm="1">
        <f t="array" ref="E222">IFERROR(time_diff_cor(Tabela1[[#This Row],[Largada]],Tabela1[[#This Row],[Chegada]]),"00:20:00:000")</f>
        <v>00:20:00:000</v>
      </c>
      <c r="G222" s="1" t="str" cm="1">
        <f t="array" ref="G222">IF(Tabela1[[#This Row],[N°S]]="","NONE",IF(Tabela1[[#This Row],[N°]]=D221,time_sum(G221,Tabela1[[#This Row],[TEMPO]]),Tabela1[[#This Row],[TEMPO]]))</f>
        <v>NONE</v>
      </c>
      <c r="I222" s="1" t="e">
        <f>VLOOKUP(C222,LARGADA!A:B,2,FALSE)</f>
        <v>#N/A</v>
      </c>
      <c r="J222" s="1" t="e">
        <f>VLOOKUP(C222,CHEGADA!A:B,2,FALSE)</f>
        <v>#N/A</v>
      </c>
    </row>
    <row r="223" spans="4:10">
      <c r="D223" s="2" t="str">
        <f>IFERROR(LEFT(Tabela1[[#This Row],[N°S]],LEN(Tabela1[[#This Row],[N°S]])-1),"")</f>
        <v/>
      </c>
      <c r="E223" s="1" t="str" cm="1">
        <f t="array" ref="E223">IFERROR(time_diff_cor(Tabela1[[#This Row],[Largada]],Tabela1[[#This Row],[Chegada]]),"00:20:00:000")</f>
        <v>00:20:00:000</v>
      </c>
      <c r="G223" s="1" t="str" cm="1">
        <f t="array" ref="G223">IF(Tabela1[[#This Row],[N°S]]="","NONE",IF(Tabela1[[#This Row],[N°]]=D222,time_sum(G222,Tabela1[[#This Row],[TEMPO]]),Tabela1[[#This Row],[TEMPO]]))</f>
        <v>NONE</v>
      </c>
      <c r="I223" s="1" t="e">
        <f>VLOOKUP(C223,LARGADA!A:B,2,FALSE)</f>
        <v>#N/A</v>
      </c>
      <c r="J223" s="1" t="e">
        <f>VLOOKUP(C223,CHEGADA!A:B,2,FALSE)</f>
        <v>#N/A</v>
      </c>
    </row>
    <row r="224" spans="4:10">
      <c r="D224" s="2" t="str">
        <f>IFERROR(LEFT(Tabela1[[#This Row],[N°S]],LEN(Tabela1[[#This Row],[N°S]])-1),"")</f>
        <v/>
      </c>
      <c r="E224" s="1" t="str" cm="1">
        <f t="array" ref="E224">IFERROR(time_diff_cor(Tabela1[[#This Row],[Largada]],Tabela1[[#This Row],[Chegada]]),"00:20:00:000")</f>
        <v>00:20:00:000</v>
      </c>
      <c r="G224" s="1" t="str" cm="1">
        <f t="array" ref="G224">IF(Tabela1[[#This Row],[N°S]]="","NONE",IF(Tabela1[[#This Row],[N°]]=D223,time_sum(G223,Tabela1[[#This Row],[TEMPO]]),Tabela1[[#This Row],[TEMPO]]))</f>
        <v>NONE</v>
      </c>
      <c r="I224" s="1" t="e">
        <f>VLOOKUP(C224,LARGADA!A:B,2,FALSE)</f>
        <v>#N/A</v>
      </c>
      <c r="J224" s="1" t="e">
        <f>VLOOKUP(C224,CHEGADA!A:B,2,FALSE)</f>
        <v>#N/A</v>
      </c>
    </row>
    <row r="225" spans="4:10">
      <c r="D225" s="2" t="str">
        <f>IFERROR(LEFT(Tabela1[[#This Row],[N°S]],LEN(Tabela1[[#This Row],[N°S]])-1),"")</f>
        <v/>
      </c>
      <c r="E225" s="1" t="str" cm="1">
        <f t="array" ref="E225">IFERROR(time_diff_cor(Tabela1[[#This Row],[Largada]],Tabela1[[#This Row],[Chegada]]),"00:20:00:000")</f>
        <v>00:20:00:000</v>
      </c>
      <c r="G225" s="1" t="str" cm="1">
        <f t="array" ref="G225">IF(Tabela1[[#This Row],[N°S]]="","NONE",IF(Tabela1[[#This Row],[N°]]=D224,time_sum(G224,Tabela1[[#This Row],[TEMPO]]),Tabela1[[#This Row],[TEMPO]]))</f>
        <v>NONE</v>
      </c>
      <c r="I225" s="1" t="e">
        <f>VLOOKUP(C225,LARGADA!A:B,2,FALSE)</f>
        <v>#N/A</v>
      </c>
      <c r="J225" s="1" t="e">
        <f>VLOOKUP(C225,CHEGADA!A:B,2,FALSE)</f>
        <v>#N/A</v>
      </c>
    </row>
    <row r="226" spans="4:10">
      <c r="D226" s="2" t="str">
        <f>IFERROR(LEFT(Tabela1[[#This Row],[N°S]],LEN(Tabela1[[#This Row],[N°S]])-1),"")</f>
        <v/>
      </c>
      <c r="E226" s="1" t="str" cm="1">
        <f t="array" ref="E226">IFERROR(time_diff_cor(Tabela1[[#This Row],[Largada]],Tabela1[[#This Row],[Chegada]]),"00:20:00:000")</f>
        <v>00:20:00:000</v>
      </c>
      <c r="G226" s="1" t="str" cm="1">
        <f t="array" ref="G226">IF(Tabela1[[#This Row],[N°S]]="","NONE",IF(Tabela1[[#This Row],[N°]]=D225,time_sum(G225,Tabela1[[#This Row],[TEMPO]]),Tabela1[[#This Row],[TEMPO]]))</f>
        <v>NONE</v>
      </c>
      <c r="I226" s="1" t="e">
        <f>VLOOKUP(C226,LARGADA!A:B,2,FALSE)</f>
        <v>#N/A</v>
      </c>
      <c r="J226" s="1" t="e">
        <f>VLOOKUP(C226,CHEGADA!A:B,2,FALSE)</f>
        <v>#N/A</v>
      </c>
    </row>
    <row r="227" spans="4:10">
      <c r="D227" s="2" t="str">
        <f>IFERROR(LEFT(Tabela1[[#This Row],[N°S]],LEN(Tabela1[[#This Row],[N°S]])-1),"")</f>
        <v/>
      </c>
      <c r="E227" s="1" t="str" cm="1">
        <f t="array" ref="E227">IFERROR(time_diff_cor(Tabela1[[#This Row],[Largada]],Tabela1[[#This Row],[Chegada]]),"00:20:00:000")</f>
        <v>00:20:00:000</v>
      </c>
      <c r="G227" s="1" t="str" cm="1">
        <f t="array" ref="G227">IF(Tabela1[[#This Row],[N°S]]="","NONE",IF(Tabela1[[#This Row],[N°]]=D226,time_sum(G226,Tabela1[[#This Row],[TEMPO]]),Tabela1[[#This Row],[TEMPO]]))</f>
        <v>NONE</v>
      </c>
      <c r="I227" s="1" t="e">
        <f>VLOOKUP(C227,LARGADA!A:B,2,FALSE)</f>
        <v>#N/A</v>
      </c>
      <c r="J227" s="1" t="e">
        <f>VLOOKUP(C227,CHEGADA!A:B,2,FALSE)</f>
        <v>#N/A</v>
      </c>
    </row>
    <row r="228" spans="4:10">
      <c r="D228" s="2" t="str">
        <f>IFERROR(LEFT(Tabela1[[#This Row],[N°S]],LEN(Tabela1[[#This Row],[N°S]])-1),"")</f>
        <v/>
      </c>
      <c r="E228" s="1" t="str" cm="1">
        <f t="array" ref="E228">IFERROR(time_diff_cor(Tabela1[[#This Row],[Largada]],Tabela1[[#This Row],[Chegada]]),"00:20:00:000")</f>
        <v>00:20:00:000</v>
      </c>
      <c r="G228" s="1" t="str" cm="1">
        <f t="array" ref="G228">IF(Tabela1[[#This Row],[N°S]]="","NONE",IF(Tabela1[[#This Row],[N°]]=D227,time_sum(G227,Tabela1[[#This Row],[TEMPO]]),Tabela1[[#This Row],[TEMPO]]))</f>
        <v>NONE</v>
      </c>
      <c r="I228" s="1" t="e">
        <f>VLOOKUP(C228,LARGADA!A:B,2,FALSE)</f>
        <v>#N/A</v>
      </c>
      <c r="J228" s="1" t="e">
        <f>VLOOKUP(C228,CHEGADA!A:B,2,FALSE)</f>
        <v>#N/A</v>
      </c>
    </row>
    <row r="229" spans="4:10">
      <c r="D229" s="2" t="str">
        <f>IFERROR(LEFT(Tabela1[[#This Row],[N°S]],LEN(Tabela1[[#This Row],[N°S]])-1),"")</f>
        <v/>
      </c>
      <c r="E229" s="1" t="str" cm="1">
        <f t="array" ref="E229">IFERROR(time_diff_cor(Tabela1[[#This Row],[Largada]],Tabela1[[#This Row],[Chegada]]),"00:20:00:000")</f>
        <v>00:20:00:000</v>
      </c>
      <c r="G229" s="1" t="str" cm="1">
        <f t="array" ref="G229">IF(Tabela1[[#This Row],[N°S]]="","NONE",IF(Tabela1[[#This Row],[N°]]=D228,time_sum(G228,Tabela1[[#This Row],[TEMPO]]),Tabela1[[#This Row],[TEMPO]]))</f>
        <v>NONE</v>
      </c>
      <c r="I229" s="1" t="e">
        <f>VLOOKUP(C229,LARGADA!A:B,2,FALSE)</f>
        <v>#N/A</v>
      </c>
      <c r="J229" s="1" t="e">
        <f>VLOOKUP(C229,CHEGADA!A:B,2,FALSE)</f>
        <v>#N/A</v>
      </c>
    </row>
    <row r="230" spans="4:10">
      <c r="D230" s="2" t="str">
        <f>IFERROR(LEFT(Tabela1[[#This Row],[N°S]],LEN(Tabela1[[#This Row],[N°S]])-1),"")</f>
        <v/>
      </c>
      <c r="E230" s="1" t="str" cm="1">
        <f t="array" ref="E230">IFERROR(time_diff_cor(Tabela1[[#This Row],[Largada]],Tabela1[[#This Row],[Chegada]]),"00:20:00:000")</f>
        <v>00:20:00:000</v>
      </c>
      <c r="G230" s="1" t="str" cm="1">
        <f t="array" ref="G230">IF(Tabela1[[#This Row],[N°S]]="","NONE",IF(Tabela1[[#This Row],[N°]]=D229,time_sum(G229,Tabela1[[#This Row],[TEMPO]]),Tabela1[[#This Row],[TEMPO]]))</f>
        <v>NONE</v>
      </c>
      <c r="I230" s="1" t="e">
        <f>VLOOKUP(C230,LARGADA!A:B,2,FALSE)</f>
        <v>#N/A</v>
      </c>
      <c r="J230" s="1" t="e">
        <f>VLOOKUP(C230,CHEGADA!A:B,2,FALSE)</f>
        <v>#N/A</v>
      </c>
    </row>
    <row r="231" spans="4:10">
      <c r="D231" s="2" t="str">
        <f>IFERROR(LEFT(Tabela1[[#This Row],[N°S]],LEN(Tabela1[[#This Row],[N°S]])-1),"")</f>
        <v/>
      </c>
      <c r="E231" s="1" t="str" cm="1">
        <f t="array" ref="E231">IFERROR(time_diff_cor(Tabela1[[#This Row],[Largada]],Tabela1[[#This Row],[Chegada]]),"00:20:00:000")</f>
        <v>00:20:00:000</v>
      </c>
      <c r="G231" s="1" t="str" cm="1">
        <f t="array" ref="G231">IF(Tabela1[[#This Row],[N°S]]="","NONE",IF(Tabela1[[#This Row],[N°]]=D230,time_sum(G230,Tabela1[[#This Row],[TEMPO]]),Tabela1[[#This Row],[TEMPO]]))</f>
        <v>NONE</v>
      </c>
      <c r="I231" s="1" t="e">
        <f>VLOOKUP(C231,LARGADA!A:B,2,FALSE)</f>
        <v>#N/A</v>
      </c>
      <c r="J231" s="1" t="e">
        <f>VLOOKUP(C231,CHEGADA!A:B,2,FALSE)</f>
        <v>#N/A</v>
      </c>
    </row>
    <row r="232" spans="4:10">
      <c r="D232" s="2" t="str">
        <f>IFERROR(LEFT(Tabela1[[#This Row],[N°S]],LEN(Tabela1[[#This Row],[N°S]])-1),"")</f>
        <v/>
      </c>
      <c r="E232" s="1" t="str" cm="1">
        <f t="array" ref="E232">IFERROR(time_diff_cor(Tabela1[[#This Row],[Largada]],Tabela1[[#This Row],[Chegada]]),"00:20:00:000")</f>
        <v>00:20:00:000</v>
      </c>
      <c r="G232" s="1" t="str" cm="1">
        <f t="array" ref="G232">IF(Tabela1[[#This Row],[N°S]]="","NONE",IF(Tabela1[[#This Row],[N°]]=D231,time_sum(G231,Tabela1[[#This Row],[TEMPO]]),Tabela1[[#This Row],[TEMPO]]))</f>
        <v>NONE</v>
      </c>
      <c r="I232" s="1" t="e">
        <f>VLOOKUP(C232,LARGADA!A:B,2,FALSE)</f>
        <v>#N/A</v>
      </c>
      <c r="J232" s="1" t="e">
        <f>VLOOKUP(C232,CHEGADA!A:B,2,FALSE)</f>
        <v>#N/A</v>
      </c>
    </row>
    <row r="233" spans="4:10">
      <c r="D233" s="2" t="str">
        <f>IFERROR(LEFT(Tabela1[[#This Row],[N°S]],LEN(Tabela1[[#This Row],[N°S]])-1),"")</f>
        <v/>
      </c>
      <c r="E233" s="1" t="str" cm="1">
        <f t="array" ref="E233">IFERROR(time_diff_cor(Tabela1[[#This Row],[Largada]],Tabela1[[#This Row],[Chegada]]),"00:20:00:000")</f>
        <v>00:20:00:000</v>
      </c>
      <c r="G233" s="1" t="str" cm="1">
        <f t="array" ref="G233">IF(Tabela1[[#This Row],[N°S]]="","NONE",IF(Tabela1[[#This Row],[N°]]=D232,time_sum(G232,Tabela1[[#This Row],[TEMPO]]),Tabela1[[#This Row],[TEMPO]]))</f>
        <v>NONE</v>
      </c>
      <c r="I233" s="1" t="e">
        <f>VLOOKUP(C233,LARGADA!A:B,2,FALSE)</f>
        <v>#N/A</v>
      </c>
      <c r="J233" s="1" t="e">
        <f>VLOOKUP(C233,CHEGADA!A:B,2,FALSE)</f>
        <v>#N/A</v>
      </c>
    </row>
    <row r="234" spans="4:10">
      <c r="D234" s="2" t="str">
        <f>IFERROR(LEFT(Tabela1[[#This Row],[N°S]],LEN(Tabela1[[#This Row],[N°S]])-1),"")</f>
        <v/>
      </c>
      <c r="E234" s="1" t="str" cm="1">
        <f t="array" ref="E234">IFERROR(time_diff_cor(Tabela1[[#This Row],[Largada]],Tabela1[[#This Row],[Chegada]]),"00:20:00:000")</f>
        <v>00:20:00:000</v>
      </c>
      <c r="G234" s="1" t="str" cm="1">
        <f t="array" ref="G234">IF(Tabela1[[#This Row],[N°S]]="","NONE",IF(Tabela1[[#This Row],[N°]]=D233,time_sum(G233,Tabela1[[#This Row],[TEMPO]]),Tabela1[[#This Row],[TEMPO]]))</f>
        <v>NONE</v>
      </c>
      <c r="I234" s="1" t="e">
        <f>VLOOKUP(C234,LARGADA!A:B,2,FALSE)</f>
        <v>#N/A</v>
      </c>
      <c r="J234" s="1" t="e">
        <f>VLOOKUP(C234,CHEGADA!A:B,2,FALSE)</f>
        <v>#N/A</v>
      </c>
    </row>
    <row r="235" spans="4:10">
      <c r="D235" s="2" t="str">
        <f>IFERROR(LEFT(Tabela1[[#This Row],[N°S]],LEN(Tabela1[[#This Row],[N°S]])-1),"")</f>
        <v/>
      </c>
      <c r="E235" s="1" t="str" cm="1">
        <f t="array" ref="E235">IFERROR(time_diff_cor(Tabela1[[#This Row],[Largada]],Tabela1[[#This Row],[Chegada]]),"00:20:00:000")</f>
        <v>00:20:00:000</v>
      </c>
      <c r="G235" s="1" t="str" cm="1">
        <f t="array" ref="G235">IF(Tabela1[[#This Row],[N°S]]="","NONE",IF(Tabela1[[#This Row],[N°]]=D234,time_sum(G234,Tabela1[[#This Row],[TEMPO]]),Tabela1[[#This Row],[TEMPO]]))</f>
        <v>NONE</v>
      </c>
      <c r="I235" s="1" t="e">
        <f>VLOOKUP(C235,LARGADA!A:B,2,FALSE)</f>
        <v>#N/A</v>
      </c>
      <c r="J235" s="1" t="e">
        <f>VLOOKUP(C235,CHEGADA!A:B,2,FALSE)</f>
        <v>#N/A</v>
      </c>
    </row>
    <row r="236" spans="4:10">
      <c r="D236" s="2" t="str">
        <f>IFERROR(LEFT(Tabela1[[#This Row],[N°S]],LEN(Tabela1[[#This Row],[N°S]])-1),"")</f>
        <v/>
      </c>
      <c r="E236" s="1" t="str" cm="1">
        <f t="array" ref="E236">IFERROR(time_diff_cor(Tabela1[[#This Row],[Largada]],Tabela1[[#This Row],[Chegada]]),"00:20:00:000")</f>
        <v>00:20:00:000</v>
      </c>
      <c r="G236" s="1" t="str" cm="1">
        <f t="array" ref="G236">IF(Tabela1[[#This Row],[N°S]]="","NONE",IF(Tabela1[[#This Row],[N°]]=D235,time_sum(G235,Tabela1[[#This Row],[TEMPO]]),Tabela1[[#This Row],[TEMPO]]))</f>
        <v>NONE</v>
      </c>
      <c r="I236" s="1" t="e">
        <f>VLOOKUP(C236,LARGADA!A:B,2,FALSE)</f>
        <v>#N/A</v>
      </c>
      <c r="J236" s="1" t="e">
        <f>VLOOKUP(C236,CHEGADA!A:B,2,FALSE)</f>
        <v>#N/A</v>
      </c>
    </row>
    <row r="237" spans="4:10">
      <c r="D237" s="2" t="str">
        <f>IFERROR(LEFT(Tabela1[[#This Row],[N°S]],LEN(Tabela1[[#This Row],[N°S]])-1),"")</f>
        <v/>
      </c>
      <c r="E237" s="1" t="str" cm="1">
        <f t="array" ref="E237">IFERROR(time_diff_cor(Tabela1[[#This Row],[Largada]],Tabela1[[#This Row],[Chegada]]),"00:20:00:000")</f>
        <v>00:20:00:000</v>
      </c>
      <c r="G237" s="1" t="str" cm="1">
        <f t="array" ref="G237">IF(Tabela1[[#This Row],[N°S]]="","NONE",IF(Tabela1[[#This Row],[N°]]=D236,time_sum(G236,Tabela1[[#This Row],[TEMPO]]),Tabela1[[#This Row],[TEMPO]]))</f>
        <v>NONE</v>
      </c>
      <c r="I237" s="1" t="e">
        <f>VLOOKUP(C237,LARGADA!A:B,2,FALSE)</f>
        <v>#N/A</v>
      </c>
      <c r="J237" s="1" t="e">
        <f>VLOOKUP(C237,CHEGADA!A:B,2,FALSE)</f>
        <v>#N/A</v>
      </c>
    </row>
    <row r="238" spans="4:10">
      <c r="D238" s="2" t="str">
        <f>IFERROR(LEFT(Tabela1[[#This Row],[N°S]],LEN(Tabela1[[#This Row],[N°S]])-1),"")</f>
        <v/>
      </c>
      <c r="E238" s="1" t="str" cm="1">
        <f t="array" ref="E238">IFERROR(time_diff_cor(Tabela1[[#This Row],[Largada]],Tabela1[[#This Row],[Chegada]]),"00:20:00:000")</f>
        <v>00:20:00:000</v>
      </c>
      <c r="G238" s="1" t="str" cm="1">
        <f t="array" ref="G238">IF(Tabela1[[#This Row],[N°S]]="","NONE",IF(Tabela1[[#This Row],[N°]]=D237,time_sum(G237,Tabela1[[#This Row],[TEMPO]]),Tabela1[[#This Row],[TEMPO]]))</f>
        <v>NONE</v>
      </c>
      <c r="I238" s="1" t="e">
        <f>VLOOKUP(C238,LARGADA!A:B,2,FALSE)</f>
        <v>#N/A</v>
      </c>
      <c r="J238" s="1" t="e">
        <f>VLOOKUP(C238,CHEGADA!A:B,2,FALSE)</f>
        <v>#N/A</v>
      </c>
    </row>
    <row r="239" spans="4:10">
      <c r="D239" s="2" t="str">
        <f>IFERROR(LEFT(Tabela1[[#This Row],[N°S]],LEN(Tabela1[[#This Row],[N°S]])-1),"")</f>
        <v/>
      </c>
      <c r="E239" s="1" t="str" cm="1">
        <f t="array" ref="E239">IFERROR(time_diff_cor(Tabela1[[#This Row],[Largada]],Tabela1[[#This Row],[Chegada]]),"00:20:00:000")</f>
        <v>00:20:00:000</v>
      </c>
      <c r="G239" s="1" t="str" cm="1">
        <f t="array" ref="G239">IF(Tabela1[[#This Row],[N°S]]="","NONE",IF(Tabela1[[#This Row],[N°]]=D238,time_sum(G238,Tabela1[[#This Row],[TEMPO]]),Tabela1[[#This Row],[TEMPO]]))</f>
        <v>NONE</v>
      </c>
      <c r="I239" s="1" t="e">
        <f>VLOOKUP(C239,LARGADA!A:B,2,FALSE)</f>
        <v>#N/A</v>
      </c>
      <c r="J239" s="1" t="e">
        <f>VLOOKUP(C239,CHEGADA!A:B,2,FALSE)</f>
        <v>#N/A</v>
      </c>
    </row>
    <row r="240" spans="4:10">
      <c r="D240" s="2" t="str">
        <f>IFERROR(LEFT(Tabela1[[#This Row],[N°S]],LEN(Tabela1[[#This Row],[N°S]])-1),"")</f>
        <v/>
      </c>
      <c r="E240" s="1" t="str" cm="1">
        <f t="array" ref="E240">IFERROR(time_diff_cor(Tabela1[[#This Row],[Largada]],Tabela1[[#This Row],[Chegada]]),"00:20:00:000")</f>
        <v>00:20:00:000</v>
      </c>
      <c r="G240" s="1" t="str" cm="1">
        <f t="array" ref="G240">IF(Tabela1[[#This Row],[N°S]]="","NONE",IF(Tabela1[[#This Row],[N°]]=D239,time_sum(G239,Tabela1[[#This Row],[TEMPO]]),Tabela1[[#This Row],[TEMPO]]))</f>
        <v>NONE</v>
      </c>
      <c r="I240" s="1" t="e">
        <f>VLOOKUP(C240,LARGADA!A:B,2,FALSE)</f>
        <v>#N/A</v>
      </c>
      <c r="J240" s="1" t="e">
        <f>VLOOKUP(C240,CHEGADA!A:B,2,FALSE)</f>
        <v>#N/A</v>
      </c>
    </row>
    <row r="241" spans="4:10">
      <c r="D241" s="2" t="str">
        <f>IFERROR(LEFT(Tabela1[[#This Row],[N°S]],LEN(Tabela1[[#This Row],[N°S]])-1),"")</f>
        <v/>
      </c>
      <c r="E241" s="1" t="str" cm="1">
        <f t="array" ref="E241">IFERROR(time_diff_cor(Tabela1[[#This Row],[Largada]],Tabela1[[#This Row],[Chegada]]),"00:20:00:000")</f>
        <v>00:20:00:000</v>
      </c>
      <c r="G241" s="1" t="str" cm="1">
        <f t="array" ref="G241">IF(Tabela1[[#This Row],[N°S]]="","NONE",IF(Tabela1[[#This Row],[N°]]=D240,time_sum(G240,Tabela1[[#This Row],[TEMPO]]),Tabela1[[#This Row],[TEMPO]]))</f>
        <v>NONE</v>
      </c>
      <c r="I241" s="1" t="e">
        <f>VLOOKUP(C241,LARGADA!A:B,2,FALSE)</f>
        <v>#N/A</v>
      </c>
      <c r="J241" s="1" t="e">
        <f>VLOOKUP(C241,CHEGADA!A:B,2,FALSE)</f>
        <v>#N/A</v>
      </c>
    </row>
    <row r="242" spans="4:10">
      <c r="D242" s="2" t="str">
        <f>IFERROR(LEFT(Tabela1[[#This Row],[N°S]],LEN(Tabela1[[#This Row],[N°S]])-1),"")</f>
        <v/>
      </c>
      <c r="E242" s="1" t="str" cm="1">
        <f t="array" ref="E242">IFERROR(time_diff_cor(Tabela1[[#This Row],[Largada]],Tabela1[[#This Row],[Chegada]]),"00:20:00:000")</f>
        <v>00:20:00:000</v>
      </c>
      <c r="G242" s="1" t="str" cm="1">
        <f t="array" ref="G242">IF(Tabela1[[#This Row],[N°S]]="","NONE",IF(Tabela1[[#This Row],[N°]]=D241,time_sum(G241,Tabela1[[#This Row],[TEMPO]]),Tabela1[[#This Row],[TEMPO]]))</f>
        <v>NONE</v>
      </c>
      <c r="I242" s="1" t="e">
        <f>VLOOKUP(C242,LARGADA!A:B,2,FALSE)</f>
        <v>#N/A</v>
      </c>
      <c r="J242" s="1" t="e">
        <f>VLOOKUP(C242,CHEGADA!A:B,2,FALSE)</f>
        <v>#N/A</v>
      </c>
    </row>
    <row r="243" spans="4:10">
      <c r="D243" s="2" t="str">
        <f>IFERROR(LEFT(Tabela1[[#This Row],[N°S]],LEN(Tabela1[[#This Row],[N°S]])-1),"")</f>
        <v/>
      </c>
      <c r="E243" s="1" t="str" cm="1">
        <f t="array" ref="E243">IFERROR(time_diff_cor(Tabela1[[#This Row],[Largada]],Tabela1[[#This Row],[Chegada]]),"00:20:00:000")</f>
        <v>00:20:00:000</v>
      </c>
      <c r="G243" s="1" t="str" cm="1">
        <f t="array" ref="G243">IF(Tabela1[[#This Row],[N°S]]="","NONE",IF(Tabela1[[#This Row],[N°]]=D242,time_sum(G242,Tabela1[[#This Row],[TEMPO]]),Tabela1[[#This Row],[TEMPO]]))</f>
        <v>NONE</v>
      </c>
      <c r="I243" s="1" t="e">
        <f>VLOOKUP(C243,LARGADA!A:B,2,FALSE)</f>
        <v>#N/A</v>
      </c>
      <c r="J243" s="1" t="e">
        <f>VLOOKUP(C243,CHEGADA!A:B,2,FALSE)</f>
        <v>#N/A</v>
      </c>
    </row>
    <row r="244" spans="4:10">
      <c r="D244" s="2" t="str">
        <f>IFERROR(LEFT(Tabela1[[#This Row],[N°S]],LEN(Tabela1[[#This Row],[N°S]])-1),"")</f>
        <v/>
      </c>
      <c r="E244" s="1" t="str" cm="1">
        <f t="array" ref="E244">IFERROR(time_diff_cor(Tabela1[[#This Row],[Largada]],Tabela1[[#This Row],[Chegada]]),"00:20:00:000")</f>
        <v>00:20:00:000</v>
      </c>
      <c r="G244" s="1" t="str" cm="1">
        <f t="array" ref="G244">IF(Tabela1[[#This Row],[N°S]]="","NONE",IF(Tabela1[[#This Row],[N°]]=D243,time_sum(G243,Tabela1[[#This Row],[TEMPO]]),Tabela1[[#This Row],[TEMPO]]))</f>
        <v>NONE</v>
      </c>
      <c r="I244" s="1" t="e">
        <f>VLOOKUP(C244,LARGADA!A:B,2,FALSE)</f>
        <v>#N/A</v>
      </c>
      <c r="J244" s="1" t="e">
        <f>VLOOKUP(C244,CHEGADA!A:B,2,FALSE)</f>
        <v>#N/A</v>
      </c>
    </row>
    <row r="245" spans="4:10">
      <c r="D245" s="2" t="str">
        <f>IFERROR(LEFT(Tabela1[[#This Row],[N°S]],LEN(Tabela1[[#This Row],[N°S]])-1),"")</f>
        <v/>
      </c>
      <c r="E245" s="1" t="str" cm="1">
        <f t="array" ref="E245">IFERROR(time_diff_cor(Tabela1[[#This Row],[Largada]],Tabela1[[#This Row],[Chegada]]),"00:20:00:000")</f>
        <v>00:20:00:000</v>
      </c>
      <c r="G245" s="1" t="str" cm="1">
        <f t="array" ref="G245">IF(Tabela1[[#This Row],[N°S]]="","NONE",IF(Tabela1[[#This Row],[N°]]=D244,time_sum(G244,Tabela1[[#This Row],[TEMPO]]),Tabela1[[#This Row],[TEMPO]]))</f>
        <v>NONE</v>
      </c>
      <c r="I245" s="1" t="e">
        <f>VLOOKUP(C245,LARGADA!A:B,2,FALSE)</f>
        <v>#N/A</v>
      </c>
      <c r="J245" s="1" t="e">
        <f>VLOOKUP(C245,CHEGADA!A:B,2,FALSE)</f>
        <v>#N/A</v>
      </c>
    </row>
    <row r="246" spans="4:10">
      <c r="D246" s="2" t="str">
        <f>IFERROR(LEFT(Tabela1[[#This Row],[N°S]],LEN(Tabela1[[#This Row],[N°S]])-1),"")</f>
        <v/>
      </c>
      <c r="E246" s="1" t="str" cm="1">
        <f t="array" ref="E246">IFERROR(time_diff_cor(Tabela1[[#This Row],[Largada]],Tabela1[[#This Row],[Chegada]]),"00:20:00:000")</f>
        <v>00:20:00:000</v>
      </c>
      <c r="G246" s="1" t="str" cm="1">
        <f t="array" ref="G246">IF(Tabela1[[#This Row],[N°S]]="","NONE",IF(Tabela1[[#This Row],[N°]]=D245,time_sum(G245,Tabela1[[#This Row],[TEMPO]]),Tabela1[[#This Row],[TEMPO]]))</f>
        <v>NONE</v>
      </c>
      <c r="I246" s="1" t="e">
        <f>VLOOKUP(C246,LARGADA!A:B,2,FALSE)</f>
        <v>#N/A</v>
      </c>
      <c r="J246" s="1" t="e">
        <f>VLOOKUP(C246,CHEGADA!A:B,2,FALSE)</f>
        <v>#N/A</v>
      </c>
    </row>
    <row r="247" spans="4:10">
      <c r="D247" s="2" t="str">
        <f>IFERROR(LEFT(Tabela1[[#This Row],[N°S]],LEN(Tabela1[[#This Row],[N°S]])-1),"")</f>
        <v/>
      </c>
      <c r="E247" s="1" t="str" cm="1">
        <f t="array" ref="E247">IFERROR(time_diff_cor(Tabela1[[#This Row],[Largada]],Tabela1[[#This Row],[Chegada]]),"00:20:00:000")</f>
        <v>00:20:00:000</v>
      </c>
      <c r="G247" s="1" t="str" cm="1">
        <f t="array" ref="G247">IF(Tabela1[[#This Row],[N°S]]="","NONE",IF(Tabela1[[#This Row],[N°]]=D246,time_sum(G246,Tabela1[[#This Row],[TEMPO]]),Tabela1[[#This Row],[TEMPO]]))</f>
        <v>NONE</v>
      </c>
      <c r="I247" s="1" t="e">
        <f>VLOOKUP(C247,LARGADA!A:B,2,FALSE)</f>
        <v>#N/A</v>
      </c>
      <c r="J247" s="1" t="e">
        <f>VLOOKUP(C247,CHEGADA!A:B,2,FALSE)</f>
        <v>#N/A</v>
      </c>
    </row>
    <row r="248" spans="4:10">
      <c r="D248" s="2" t="str">
        <f>IFERROR(LEFT(Tabela1[[#This Row],[N°S]],LEN(Tabela1[[#This Row],[N°S]])-1),"")</f>
        <v/>
      </c>
      <c r="E248" s="1" t="str" cm="1">
        <f t="array" ref="E248">IFERROR(time_diff_cor(Tabela1[[#This Row],[Largada]],Tabela1[[#This Row],[Chegada]]),"00:20:00:000")</f>
        <v>00:20:00:000</v>
      </c>
      <c r="G248" s="1" t="str" cm="1">
        <f t="array" ref="G248">IF(Tabela1[[#This Row],[N°S]]="","NONE",IF(Tabela1[[#This Row],[N°]]=D247,time_sum(G247,Tabela1[[#This Row],[TEMPO]]),Tabela1[[#This Row],[TEMPO]]))</f>
        <v>NONE</v>
      </c>
      <c r="I248" s="1" t="e">
        <f>VLOOKUP(C248,LARGADA!A:B,2,FALSE)</f>
        <v>#N/A</v>
      </c>
      <c r="J248" s="1" t="e">
        <f>VLOOKUP(C248,CHEGADA!A:B,2,FALSE)</f>
        <v>#N/A</v>
      </c>
    </row>
    <row r="249" spans="4:10">
      <c r="D249" s="2" t="str">
        <f>IFERROR(LEFT(Tabela1[[#This Row],[N°S]],LEN(Tabela1[[#This Row],[N°S]])-1),"")</f>
        <v/>
      </c>
      <c r="E249" s="1" t="str" cm="1">
        <f t="array" ref="E249">IFERROR(time_diff_cor(Tabela1[[#This Row],[Largada]],Tabela1[[#This Row],[Chegada]]),"00:20:00:000")</f>
        <v>00:20:00:000</v>
      </c>
      <c r="G249" s="1" t="str" cm="1">
        <f t="array" ref="G249">IF(Tabela1[[#This Row],[N°S]]="","NONE",IF(Tabela1[[#This Row],[N°]]=D248,time_sum(G248,Tabela1[[#This Row],[TEMPO]]),Tabela1[[#This Row],[TEMPO]]))</f>
        <v>NONE</v>
      </c>
      <c r="I249" s="1" t="e">
        <f>VLOOKUP(C249,LARGADA!A:B,2,FALSE)</f>
        <v>#N/A</v>
      </c>
      <c r="J249" s="1" t="e">
        <f>VLOOKUP(C249,CHEGADA!A:B,2,FALSE)</f>
        <v>#N/A</v>
      </c>
    </row>
    <row r="250" spans="4:10">
      <c r="D250" s="2" t="str">
        <f>IFERROR(LEFT(Tabela1[[#This Row],[N°S]],LEN(Tabela1[[#This Row],[N°S]])-1),"")</f>
        <v/>
      </c>
      <c r="E250" s="1" t="str" cm="1">
        <f t="array" ref="E250">IFERROR(time_diff_cor(Tabela1[[#This Row],[Largada]],Tabela1[[#This Row],[Chegada]]),"00:20:00:000")</f>
        <v>00:20:00:000</v>
      </c>
      <c r="G250" s="1" t="str" cm="1">
        <f t="array" ref="G250">IF(Tabela1[[#This Row],[N°S]]="","NONE",IF(Tabela1[[#This Row],[N°]]=D249,time_sum(G249,Tabela1[[#This Row],[TEMPO]]),Tabela1[[#This Row],[TEMPO]]))</f>
        <v>NONE</v>
      </c>
      <c r="I250" s="1" t="e">
        <f>VLOOKUP(C250,LARGADA!A:B,2,FALSE)</f>
        <v>#N/A</v>
      </c>
      <c r="J250" s="1" t="e">
        <f>VLOOKUP(C250,CHEGADA!A:B,2,FALSE)</f>
        <v>#N/A</v>
      </c>
    </row>
    <row r="251" spans="4:10">
      <c r="D251" s="2" t="str">
        <f>IFERROR(LEFT(Tabela1[[#This Row],[N°S]],LEN(Tabela1[[#This Row],[N°S]])-1),"")</f>
        <v/>
      </c>
      <c r="E251" s="1" t="str" cm="1">
        <f t="array" ref="E251">IFERROR(time_diff_cor(Tabela1[[#This Row],[Largada]],Tabela1[[#This Row],[Chegada]]),"00:20:00:000")</f>
        <v>00:20:00:000</v>
      </c>
      <c r="G251" s="1" t="str" cm="1">
        <f t="array" ref="G251">IF(Tabela1[[#This Row],[N°S]]="","NONE",IF(Tabela1[[#This Row],[N°]]=D250,time_sum(G250,Tabela1[[#This Row],[TEMPO]]),Tabela1[[#This Row],[TEMPO]]))</f>
        <v>NONE</v>
      </c>
      <c r="I251" s="1" t="e">
        <f>VLOOKUP(C251,LARGADA!A:B,2,FALSE)</f>
        <v>#N/A</v>
      </c>
      <c r="J251" s="1" t="e">
        <f>VLOOKUP(C251,CHEGADA!A:B,2,FALSE)</f>
        <v>#N/A</v>
      </c>
    </row>
    <row r="252" spans="4:10">
      <c r="D252" s="2" t="str">
        <f>IFERROR(LEFT(Tabela1[[#This Row],[N°S]],LEN(Tabela1[[#This Row],[N°S]])-1),"")</f>
        <v/>
      </c>
      <c r="E252" s="1" t="str" cm="1">
        <f t="array" ref="E252">IFERROR(time_diff_cor(Tabela1[[#This Row],[Largada]],Tabela1[[#This Row],[Chegada]]),"00:20:00:000")</f>
        <v>00:20:00:000</v>
      </c>
      <c r="G252" s="1" t="str" cm="1">
        <f t="array" ref="G252">IF(Tabela1[[#This Row],[N°S]]="","NONE",IF(Tabela1[[#This Row],[N°]]=D251,time_sum(G251,Tabela1[[#This Row],[TEMPO]]),Tabela1[[#This Row],[TEMPO]]))</f>
        <v>NONE</v>
      </c>
      <c r="I252" s="1" t="e">
        <f>VLOOKUP(C252,LARGADA!A:B,2,FALSE)</f>
        <v>#N/A</v>
      </c>
      <c r="J252" s="1" t="e">
        <f>VLOOKUP(C252,CHEGADA!A:B,2,FALSE)</f>
        <v>#N/A</v>
      </c>
    </row>
    <row r="253" spans="4:10">
      <c r="D253" s="2" t="str">
        <f>IFERROR(LEFT(Tabela1[[#This Row],[N°S]],LEN(Tabela1[[#This Row],[N°S]])-1),"")</f>
        <v/>
      </c>
      <c r="E253" s="1" t="str" cm="1">
        <f t="array" ref="E253">IFERROR(time_diff_cor(Tabela1[[#This Row],[Largada]],Tabela1[[#This Row],[Chegada]]),"00:20:00:000")</f>
        <v>00:20:00:000</v>
      </c>
      <c r="G253" s="1" t="str" cm="1">
        <f t="array" ref="G253">IF(Tabela1[[#This Row],[N°S]]="","NONE",IF(Tabela1[[#This Row],[N°]]=D252,time_sum(G252,Tabela1[[#This Row],[TEMPO]]),Tabela1[[#This Row],[TEMPO]]))</f>
        <v>NONE</v>
      </c>
      <c r="I253" s="1" t="e">
        <f>VLOOKUP(C253,LARGADA!A:B,2,FALSE)</f>
        <v>#N/A</v>
      </c>
      <c r="J253" s="1" t="e">
        <f>VLOOKUP(C253,CHEGADA!A:B,2,FALSE)</f>
        <v>#N/A</v>
      </c>
    </row>
    <row r="254" spans="4:10">
      <c r="D254" s="2" t="str">
        <f>IFERROR(LEFT(Tabela1[[#This Row],[N°S]],LEN(Tabela1[[#This Row],[N°S]])-1),"")</f>
        <v/>
      </c>
      <c r="E254" s="1" t="str" cm="1">
        <f t="array" ref="E254">IFERROR(time_diff_cor(Tabela1[[#This Row],[Largada]],Tabela1[[#This Row],[Chegada]]),"00:20:00:000")</f>
        <v>00:20:00:000</v>
      </c>
      <c r="G254" s="1" t="str" cm="1">
        <f t="array" ref="G254">IF(Tabela1[[#This Row],[N°S]]="","NONE",IF(Tabela1[[#This Row],[N°]]=D253,time_sum(G253,Tabela1[[#This Row],[TEMPO]]),Tabela1[[#This Row],[TEMPO]]))</f>
        <v>NONE</v>
      </c>
      <c r="I254" s="1" t="e">
        <f>VLOOKUP(C254,LARGADA!A:B,2,FALSE)</f>
        <v>#N/A</v>
      </c>
      <c r="J254" s="1" t="e">
        <f>VLOOKUP(C254,CHEGADA!A:B,2,FALSE)</f>
        <v>#N/A</v>
      </c>
    </row>
    <row r="255" spans="4:10">
      <c r="D255" s="2" t="str">
        <f>IFERROR(LEFT(Tabela1[[#This Row],[N°S]],LEN(Tabela1[[#This Row],[N°S]])-1),"")</f>
        <v/>
      </c>
      <c r="E255" s="1" t="str" cm="1">
        <f t="array" ref="E255">IFERROR(time_diff_cor(Tabela1[[#This Row],[Largada]],Tabela1[[#This Row],[Chegada]]),"00:20:00:000")</f>
        <v>00:20:00:000</v>
      </c>
      <c r="G255" s="1" t="str" cm="1">
        <f t="array" ref="G255">IF(Tabela1[[#This Row],[N°S]]="","NONE",IF(Tabela1[[#This Row],[N°]]=D254,time_sum(G254,Tabela1[[#This Row],[TEMPO]]),Tabela1[[#This Row],[TEMPO]]))</f>
        <v>NONE</v>
      </c>
      <c r="I255" s="1" t="e">
        <f>VLOOKUP(C255,LARGADA!A:B,2,FALSE)</f>
        <v>#N/A</v>
      </c>
      <c r="J255" s="1" t="e">
        <f>VLOOKUP(C255,CHEGADA!A:B,2,FALSE)</f>
        <v>#N/A</v>
      </c>
    </row>
    <row r="256" spans="4:10">
      <c r="D256" s="2" t="str">
        <f>IFERROR(LEFT(Tabela1[[#This Row],[N°S]],LEN(Tabela1[[#This Row],[N°S]])-1),"")</f>
        <v/>
      </c>
      <c r="E256" s="1" t="str" cm="1">
        <f t="array" ref="E256">IFERROR(time_diff_cor(Tabela1[[#This Row],[Largada]],Tabela1[[#This Row],[Chegada]]),"00:20:00:000")</f>
        <v>00:20:00:000</v>
      </c>
      <c r="G256" s="1" t="str" cm="1">
        <f t="array" ref="G256">IF(Tabela1[[#This Row],[N°S]]="","NONE",IF(Tabela1[[#This Row],[N°]]=D255,time_sum(G255,Tabela1[[#This Row],[TEMPO]]),Tabela1[[#This Row],[TEMPO]]))</f>
        <v>NONE</v>
      </c>
      <c r="I256" s="1" t="e">
        <f>VLOOKUP(C256,LARGADA!A:B,2,FALSE)</f>
        <v>#N/A</v>
      </c>
      <c r="J256" s="1" t="e">
        <f>VLOOKUP(C256,CHEGADA!A:B,2,FALSE)</f>
        <v>#N/A</v>
      </c>
    </row>
    <row r="257" spans="4:10">
      <c r="D257" s="2" t="str">
        <f>IFERROR(LEFT(Tabela1[[#This Row],[N°S]],LEN(Tabela1[[#This Row],[N°S]])-1),"")</f>
        <v/>
      </c>
      <c r="E257" s="1" t="str" cm="1">
        <f t="array" ref="E257">IFERROR(time_diff_cor(Tabela1[[#This Row],[Largada]],Tabela1[[#This Row],[Chegada]]),"00:20:00:000")</f>
        <v>00:20:00:000</v>
      </c>
      <c r="G257" s="1" t="str" cm="1">
        <f t="array" ref="G257">IF(Tabela1[[#This Row],[N°S]]="","NONE",IF(Tabela1[[#This Row],[N°]]=D256,time_sum(G256,Tabela1[[#This Row],[TEMPO]]),Tabela1[[#This Row],[TEMPO]]))</f>
        <v>NONE</v>
      </c>
      <c r="I257" s="1" t="e">
        <f>VLOOKUP(C257,LARGADA!A:B,2,FALSE)</f>
        <v>#N/A</v>
      </c>
      <c r="J257" s="1" t="e">
        <f>VLOOKUP(C257,CHEGADA!A:B,2,FALSE)</f>
        <v>#N/A</v>
      </c>
    </row>
    <row r="258" spans="4:10">
      <c r="D258" s="2" t="str">
        <f>IFERROR(LEFT(Tabela1[[#This Row],[N°S]],LEN(Tabela1[[#This Row],[N°S]])-1),"")</f>
        <v/>
      </c>
      <c r="E258" s="1" t="str" cm="1">
        <f t="array" ref="E258">IFERROR(time_diff_cor(Tabela1[[#This Row],[Largada]],Tabela1[[#This Row],[Chegada]]),"00:20:00:000")</f>
        <v>00:20:00:000</v>
      </c>
      <c r="G258" s="1" t="str" cm="1">
        <f t="array" ref="G258">IF(Tabela1[[#This Row],[N°S]]="","NONE",IF(Tabela1[[#This Row],[N°]]=D257,time_sum(G257,Tabela1[[#This Row],[TEMPO]]),Tabela1[[#This Row],[TEMPO]]))</f>
        <v>NONE</v>
      </c>
      <c r="I258" s="1" t="e">
        <f>VLOOKUP(C258,LARGADA!A:B,2,FALSE)</f>
        <v>#N/A</v>
      </c>
      <c r="J258" s="1" t="e">
        <f>VLOOKUP(C258,CHEGADA!A:B,2,FALSE)</f>
        <v>#N/A</v>
      </c>
    </row>
    <row r="259" spans="4:10">
      <c r="D259" s="2" t="str">
        <f>IFERROR(LEFT(Tabela1[[#This Row],[N°S]],LEN(Tabela1[[#This Row],[N°S]])-1),"")</f>
        <v/>
      </c>
      <c r="E259" s="1" t="str" cm="1">
        <f t="array" ref="E259">IFERROR(time_diff_cor(Tabela1[[#This Row],[Largada]],Tabela1[[#This Row],[Chegada]]),"00:20:00:000")</f>
        <v>00:20:00:000</v>
      </c>
      <c r="G259" s="1" t="str" cm="1">
        <f t="array" ref="G259">IF(Tabela1[[#This Row],[N°S]]="","NONE",IF(Tabela1[[#This Row],[N°]]=D258,time_sum(G258,Tabela1[[#This Row],[TEMPO]]),Tabela1[[#This Row],[TEMPO]]))</f>
        <v>NONE</v>
      </c>
      <c r="I259" s="1" t="e">
        <f>VLOOKUP(C259,LARGADA!A:B,2,FALSE)</f>
        <v>#N/A</v>
      </c>
      <c r="J259" s="1" t="e">
        <f>VLOOKUP(C259,CHEGADA!A:B,2,FALSE)</f>
        <v>#N/A</v>
      </c>
    </row>
    <row r="260" spans="4:10">
      <c r="D260" s="2" t="str">
        <f>IFERROR(LEFT(Tabela1[[#This Row],[N°S]],LEN(Tabela1[[#This Row],[N°S]])-1),"")</f>
        <v/>
      </c>
      <c r="E260" s="1" t="str" cm="1">
        <f t="array" ref="E260">IFERROR(time_diff_cor(Tabela1[[#This Row],[Largada]],Tabela1[[#This Row],[Chegada]]),"00:20:00:000")</f>
        <v>00:20:00:000</v>
      </c>
      <c r="G260" s="1" t="str" cm="1">
        <f t="array" ref="G260">IF(Tabela1[[#This Row],[N°S]]="","NONE",IF(Tabela1[[#This Row],[N°]]=D259,time_sum(G259,Tabela1[[#This Row],[TEMPO]]),Tabela1[[#This Row],[TEMPO]]))</f>
        <v>NONE</v>
      </c>
      <c r="I260" s="1" t="e">
        <f>VLOOKUP(C260,LARGADA!A:B,2,FALSE)</f>
        <v>#N/A</v>
      </c>
      <c r="J260" s="1" t="e">
        <f>VLOOKUP(C260,CHEGADA!A:B,2,FALSE)</f>
        <v>#N/A</v>
      </c>
    </row>
    <row r="261" spans="4:10">
      <c r="D261" s="2" t="str">
        <f>IFERROR(LEFT(Tabela1[[#This Row],[N°S]],LEN(Tabela1[[#This Row],[N°S]])-1),"")</f>
        <v/>
      </c>
      <c r="E261" s="1" t="str" cm="1">
        <f t="array" ref="E261">IFERROR(time_diff_cor(Tabela1[[#This Row],[Largada]],Tabela1[[#This Row],[Chegada]]),"00:20:00:000")</f>
        <v>00:20:00:000</v>
      </c>
      <c r="G261" s="1" t="str" cm="1">
        <f t="array" ref="G261">IF(Tabela1[[#This Row],[N°S]]="","NONE",IF(Tabela1[[#This Row],[N°]]=D260,time_sum(G260,Tabela1[[#This Row],[TEMPO]]),Tabela1[[#This Row],[TEMPO]]))</f>
        <v>NONE</v>
      </c>
      <c r="I261" s="1" t="e">
        <f>VLOOKUP(C261,LARGADA!A:B,2,FALSE)</f>
        <v>#N/A</v>
      </c>
      <c r="J261" s="1" t="e">
        <f>VLOOKUP(C261,CHEGADA!A:B,2,FALSE)</f>
        <v>#N/A</v>
      </c>
    </row>
    <row r="262" spans="4:10">
      <c r="D262" s="2" t="str">
        <f>IFERROR(LEFT(Tabela1[[#This Row],[N°S]],LEN(Tabela1[[#This Row],[N°S]])-1),"")</f>
        <v/>
      </c>
      <c r="E262" s="1" t="str" cm="1">
        <f t="array" ref="E262">IFERROR(time_diff_cor(Tabela1[[#This Row],[Largada]],Tabela1[[#This Row],[Chegada]]),"00:20:00:000")</f>
        <v>00:20:00:000</v>
      </c>
      <c r="G262" s="1" t="str" cm="1">
        <f t="array" ref="G262">IF(Tabela1[[#This Row],[N°S]]="","NONE",IF(Tabela1[[#This Row],[N°]]=D261,time_sum(G261,Tabela1[[#This Row],[TEMPO]]),Tabela1[[#This Row],[TEMPO]]))</f>
        <v>NONE</v>
      </c>
      <c r="I262" s="1" t="e">
        <f>VLOOKUP(C262,LARGADA!A:B,2,FALSE)</f>
        <v>#N/A</v>
      </c>
      <c r="J262" s="1" t="e">
        <f>VLOOKUP(C262,CHEGADA!A:B,2,FALSE)</f>
        <v>#N/A</v>
      </c>
    </row>
    <row r="263" spans="4:10">
      <c r="D263" s="2" t="str">
        <f>IFERROR(LEFT(Tabela1[[#This Row],[N°S]],LEN(Tabela1[[#This Row],[N°S]])-1),"")</f>
        <v/>
      </c>
      <c r="E263" s="1" t="str" cm="1">
        <f t="array" ref="E263">IFERROR(time_diff_cor(Tabela1[[#This Row],[Largada]],Tabela1[[#This Row],[Chegada]]),"00:20:00:000")</f>
        <v>00:20:00:000</v>
      </c>
      <c r="G263" s="1" t="str" cm="1">
        <f t="array" ref="G263">IF(Tabela1[[#This Row],[N°S]]="","NONE",IF(Tabela1[[#This Row],[N°]]=D262,time_sum(G262,Tabela1[[#This Row],[TEMPO]]),Tabela1[[#This Row],[TEMPO]]))</f>
        <v>NONE</v>
      </c>
      <c r="I263" s="1" t="e">
        <f>VLOOKUP(C263,LARGADA!A:B,2,FALSE)</f>
        <v>#N/A</v>
      </c>
      <c r="J263" s="1" t="e">
        <f>VLOOKUP(C263,CHEGADA!A:B,2,FALSE)</f>
        <v>#N/A</v>
      </c>
    </row>
    <row r="264" spans="4:10">
      <c r="D264" s="2" t="str">
        <f>IFERROR(LEFT(Tabela1[[#This Row],[N°S]],LEN(Tabela1[[#This Row],[N°S]])-1),"")</f>
        <v/>
      </c>
      <c r="E264" s="1" t="str" cm="1">
        <f t="array" ref="E264">IFERROR(time_diff_cor(Tabela1[[#This Row],[Largada]],Tabela1[[#This Row],[Chegada]]),"00:20:00:000")</f>
        <v>00:20:00:000</v>
      </c>
      <c r="G264" s="1" t="str" cm="1">
        <f t="array" ref="G264">IF(Tabela1[[#This Row],[N°S]]="","NONE",IF(Tabela1[[#This Row],[N°]]=D263,time_sum(G263,Tabela1[[#This Row],[TEMPO]]),Tabela1[[#This Row],[TEMPO]]))</f>
        <v>NONE</v>
      </c>
      <c r="I264" s="1" t="e">
        <f>VLOOKUP(C264,LARGADA!A:B,2,FALSE)</f>
        <v>#N/A</v>
      </c>
      <c r="J264" s="1" t="e">
        <f>VLOOKUP(C264,CHEGADA!A:B,2,FALSE)</f>
        <v>#N/A</v>
      </c>
    </row>
    <row r="265" spans="4:10">
      <c r="D265" s="2" t="str">
        <f>IFERROR(LEFT(Tabela1[[#This Row],[N°S]],LEN(Tabela1[[#This Row],[N°S]])-1),"")</f>
        <v/>
      </c>
      <c r="E265" s="1" t="str" cm="1">
        <f t="array" ref="E265">IFERROR(time_diff_cor(Tabela1[[#This Row],[Largada]],Tabela1[[#This Row],[Chegada]]),"00:20:00:000")</f>
        <v>00:20:00:000</v>
      </c>
      <c r="G265" s="1" t="str" cm="1">
        <f t="array" ref="G265">IF(Tabela1[[#This Row],[N°S]]="","NONE",IF(Tabela1[[#This Row],[N°]]=D264,time_sum(G264,Tabela1[[#This Row],[TEMPO]]),Tabela1[[#This Row],[TEMPO]]))</f>
        <v>NONE</v>
      </c>
      <c r="I265" s="1" t="e">
        <f>VLOOKUP(C265,LARGADA!A:B,2,FALSE)</f>
        <v>#N/A</v>
      </c>
      <c r="J265" s="1" t="e">
        <f>VLOOKUP(C265,CHEGADA!A:B,2,FALSE)</f>
        <v>#N/A</v>
      </c>
    </row>
    <row r="266" spans="4:10">
      <c r="D266" s="2" t="str">
        <f>IFERROR(LEFT(Tabela1[[#This Row],[N°S]],LEN(Tabela1[[#This Row],[N°S]])-1),"")</f>
        <v/>
      </c>
      <c r="E266" s="1" t="str" cm="1">
        <f t="array" ref="E266">IFERROR(time_diff_cor(Tabela1[[#This Row],[Largada]],Tabela1[[#This Row],[Chegada]]),"00:20:00:000")</f>
        <v>00:20:00:000</v>
      </c>
      <c r="G266" s="1" t="str" cm="1">
        <f t="array" ref="G266">IF(Tabela1[[#This Row],[N°S]]="","NONE",IF(Tabela1[[#This Row],[N°]]=D265,time_sum(G265,Tabela1[[#This Row],[TEMPO]]),Tabela1[[#This Row],[TEMPO]]))</f>
        <v>NONE</v>
      </c>
      <c r="I266" s="1" t="e">
        <f>VLOOKUP(C266,LARGADA!A:B,2,FALSE)</f>
        <v>#N/A</v>
      </c>
      <c r="J266" s="1" t="e">
        <f>VLOOKUP(C266,CHEGADA!A:B,2,FALSE)</f>
        <v>#N/A</v>
      </c>
    </row>
    <row r="267" spans="4:10">
      <c r="D267" s="2" t="str">
        <f>IFERROR(LEFT(Tabela1[[#This Row],[N°S]],LEN(Tabela1[[#This Row],[N°S]])-1),"")</f>
        <v/>
      </c>
      <c r="E267" s="1" t="str" cm="1">
        <f t="array" ref="E267">IFERROR(time_diff_cor(Tabela1[[#This Row],[Largada]],Tabela1[[#This Row],[Chegada]]),"00:20:00:000")</f>
        <v>00:20:00:000</v>
      </c>
      <c r="G267" s="1" t="str" cm="1">
        <f t="array" ref="G267">IF(Tabela1[[#This Row],[N°S]]="","NONE",IF(Tabela1[[#This Row],[N°]]=D266,time_sum(G266,Tabela1[[#This Row],[TEMPO]]),Tabela1[[#This Row],[TEMPO]]))</f>
        <v>NONE</v>
      </c>
      <c r="I267" s="1" t="e">
        <f>VLOOKUP(C267,LARGADA!A:B,2,FALSE)</f>
        <v>#N/A</v>
      </c>
      <c r="J267" s="1" t="e">
        <f>VLOOKUP(C267,CHEGADA!A:B,2,FALSE)</f>
        <v>#N/A</v>
      </c>
    </row>
    <row r="268" spans="4:10">
      <c r="D268" s="2" t="str">
        <f>IFERROR(LEFT(Tabela1[[#This Row],[N°S]],LEN(Tabela1[[#This Row],[N°S]])-1),"")</f>
        <v/>
      </c>
      <c r="E268" s="1" t="str" cm="1">
        <f t="array" ref="E268">IFERROR(time_diff_cor(Tabela1[[#This Row],[Largada]],Tabela1[[#This Row],[Chegada]]),"00:20:00:000")</f>
        <v>00:20:00:000</v>
      </c>
      <c r="G268" s="1" t="str" cm="1">
        <f t="array" ref="G268">IF(Tabela1[[#This Row],[N°S]]="","NONE",IF(Tabela1[[#This Row],[N°]]=D267,time_sum(G267,Tabela1[[#This Row],[TEMPO]]),Tabela1[[#This Row],[TEMPO]]))</f>
        <v>NONE</v>
      </c>
      <c r="I268" s="1" t="e">
        <f>VLOOKUP(C268,LARGADA!A:B,2,FALSE)</f>
        <v>#N/A</v>
      </c>
      <c r="J268" s="1" t="e">
        <f>VLOOKUP(C268,CHEGADA!A:B,2,FALSE)</f>
        <v>#N/A</v>
      </c>
    </row>
    <row r="269" spans="4:10">
      <c r="D269" s="2" t="str">
        <f>IFERROR(LEFT(Tabela1[[#This Row],[N°S]],LEN(Tabela1[[#This Row],[N°S]])-1),"")</f>
        <v/>
      </c>
      <c r="E269" s="1" t="str" cm="1">
        <f t="array" ref="E269">IFERROR(time_diff_cor(Tabela1[[#This Row],[Largada]],Tabela1[[#This Row],[Chegada]]),"00:20:00:000")</f>
        <v>00:20:00:000</v>
      </c>
      <c r="G269" s="1" t="str" cm="1">
        <f t="array" ref="G269">IF(Tabela1[[#This Row],[N°S]]="","NONE",IF(Tabela1[[#This Row],[N°]]=D268,time_sum(G268,Tabela1[[#This Row],[TEMPO]]),Tabela1[[#This Row],[TEMPO]]))</f>
        <v>NONE</v>
      </c>
      <c r="I269" s="1" t="e">
        <f>VLOOKUP(C269,LARGADA!A:B,2,FALSE)</f>
        <v>#N/A</v>
      </c>
      <c r="J269" s="1" t="e">
        <f>VLOOKUP(C269,CHEGADA!A:B,2,FALSE)</f>
        <v>#N/A</v>
      </c>
    </row>
    <row r="270" spans="4:10">
      <c r="D270" s="2" t="str">
        <f>IFERROR(LEFT(Tabela1[[#This Row],[N°S]],LEN(Tabela1[[#This Row],[N°S]])-1),"")</f>
        <v/>
      </c>
      <c r="E270" s="1" t="str" cm="1">
        <f t="array" ref="E270">IFERROR(time_diff_cor(Tabela1[[#This Row],[Largada]],Tabela1[[#This Row],[Chegada]]),"00:20:00:000")</f>
        <v>00:20:00:000</v>
      </c>
      <c r="G270" s="1" t="str" cm="1">
        <f t="array" ref="G270">IF(Tabela1[[#This Row],[N°S]]="","NONE",IF(Tabela1[[#This Row],[N°]]=D269,time_sum(G269,Tabela1[[#This Row],[TEMPO]]),Tabela1[[#This Row],[TEMPO]]))</f>
        <v>NONE</v>
      </c>
      <c r="I270" s="1" t="e">
        <f>VLOOKUP(C270,LARGADA!A:B,2,FALSE)</f>
        <v>#N/A</v>
      </c>
      <c r="J270" s="1" t="e">
        <f>VLOOKUP(C270,CHEGADA!A:B,2,FALSE)</f>
        <v>#N/A</v>
      </c>
    </row>
    <row r="271" spans="4:10">
      <c r="D271" s="2" t="str">
        <f>IFERROR(LEFT(Tabela1[[#This Row],[N°S]],LEN(Tabela1[[#This Row],[N°S]])-1),"")</f>
        <v/>
      </c>
      <c r="E271" s="1" t="str" cm="1">
        <f t="array" ref="E271">IFERROR(time_diff_cor(Tabela1[[#This Row],[Largada]],Tabela1[[#This Row],[Chegada]]),"00:20:00:000")</f>
        <v>00:20:00:000</v>
      </c>
      <c r="G271" s="1" t="str" cm="1">
        <f t="array" ref="G271">IF(Tabela1[[#This Row],[N°S]]="","NONE",IF(Tabela1[[#This Row],[N°]]=D270,time_sum(G270,Tabela1[[#This Row],[TEMPO]]),Tabela1[[#This Row],[TEMPO]]))</f>
        <v>NONE</v>
      </c>
      <c r="I271" s="1" t="e">
        <f>VLOOKUP(C271,LARGADA!A:B,2,FALSE)</f>
        <v>#N/A</v>
      </c>
      <c r="J271" s="1" t="e">
        <f>VLOOKUP(C271,CHEGADA!A:B,2,FALSE)</f>
        <v>#N/A</v>
      </c>
    </row>
    <row r="272" spans="4:10">
      <c r="D272" s="2" t="str">
        <f>IFERROR(LEFT(Tabela1[[#This Row],[N°S]],LEN(Tabela1[[#This Row],[N°S]])-1),"")</f>
        <v/>
      </c>
      <c r="E272" s="1" t="str" cm="1">
        <f t="array" ref="E272">IFERROR(time_diff_cor(Tabela1[[#This Row],[Largada]],Tabela1[[#This Row],[Chegada]]),"00:20:00:000")</f>
        <v>00:20:00:000</v>
      </c>
      <c r="G272" s="1" t="str" cm="1">
        <f t="array" ref="G272">IF(Tabela1[[#This Row],[N°S]]="","NONE",IF(Tabela1[[#This Row],[N°]]=D271,time_sum(G271,Tabela1[[#This Row],[TEMPO]]),Tabela1[[#This Row],[TEMPO]]))</f>
        <v>NONE</v>
      </c>
      <c r="I272" s="1" t="e">
        <f>VLOOKUP(C272,LARGADA!A:B,2,FALSE)</f>
        <v>#N/A</v>
      </c>
      <c r="J272" s="1" t="e">
        <f>VLOOKUP(C272,CHEGADA!A:B,2,FALSE)</f>
        <v>#N/A</v>
      </c>
    </row>
    <row r="273" spans="4:10">
      <c r="D273" s="2" t="str">
        <f>IFERROR(LEFT(Tabela1[[#This Row],[N°S]],LEN(Tabela1[[#This Row],[N°S]])-1),"")</f>
        <v/>
      </c>
      <c r="E273" s="1" t="str" cm="1">
        <f t="array" ref="E273">IFERROR(time_diff_cor(Tabela1[[#This Row],[Largada]],Tabela1[[#This Row],[Chegada]]),"00:20:00:000")</f>
        <v>00:20:00:000</v>
      </c>
      <c r="G273" s="1" t="str" cm="1">
        <f t="array" ref="G273">IF(Tabela1[[#This Row],[N°S]]="","NONE",IF(Tabela1[[#This Row],[N°]]=D272,time_sum(G272,Tabela1[[#This Row],[TEMPO]]),Tabela1[[#This Row],[TEMPO]]))</f>
        <v>NONE</v>
      </c>
      <c r="I273" s="1" t="e">
        <f>VLOOKUP(C273,LARGADA!A:B,2,FALSE)</f>
        <v>#N/A</v>
      </c>
      <c r="J273" s="1" t="e">
        <f>VLOOKUP(C273,CHEGADA!A:B,2,FALSE)</f>
        <v>#N/A</v>
      </c>
    </row>
    <row r="274" spans="4:10">
      <c r="D274" s="2" t="str">
        <f>IFERROR(LEFT(Tabela1[[#This Row],[N°S]],LEN(Tabela1[[#This Row],[N°S]])-1),"")</f>
        <v/>
      </c>
      <c r="E274" s="1" t="str" cm="1">
        <f t="array" ref="E274">IFERROR(time_diff_cor(Tabela1[[#This Row],[Largada]],Tabela1[[#This Row],[Chegada]]),"00:20:00:000")</f>
        <v>00:20:00:000</v>
      </c>
      <c r="G274" s="1" t="str" cm="1">
        <f t="array" ref="G274">IF(Tabela1[[#This Row],[N°S]]="","NONE",IF(Tabela1[[#This Row],[N°]]=D273,time_sum(G273,Tabela1[[#This Row],[TEMPO]]),Tabela1[[#This Row],[TEMPO]]))</f>
        <v>NONE</v>
      </c>
      <c r="I274" s="1" t="e">
        <f>VLOOKUP(C274,LARGADA!A:B,2,FALSE)</f>
        <v>#N/A</v>
      </c>
      <c r="J274" s="1" t="e">
        <f>VLOOKUP(C274,CHEGADA!A:B,2,FALSE)</f>
        <v>#N/A</v>
      </c>
    </row>
    <row r="275" spans="4:10">
      <c r="D275" s="2" t="str">
        <f>IFERROR(LEFT(Tabela1[[#This Row],[N°S]],LEN(Tabela1[[#This Row],[N°S]])-1),"")</f>
        <v/>
      </c>
      <c r="E275" s="1" t="str" cm="1">
        <f t="array" ref="E275">IFERROR(time_diff_cor(Tabela1[[#This Row],[Largada]],Tabela1[[#This Row],[Chegada]]),"00:20:00:000")</f>
        <v>00:20:00:000</v>
      </c>
      <c r="G275" s="1" t="str" cm="1">
        <f t="array" ref="G275">IF(Tabela1[[#This Row],[N°S]]="","NONE",IF(Tabela1[[#This Row],[N°]]=D274,time_sum(G274,Tabela1[[#This Row],[TEMPO]]),Tabela1[[#This Row],[TEMPO]]))</f>
        <v>NONE</v>
      </c>
      <c r="I275" s="1" t="e">
        <f>VLOOKUP(C275,LARGADA!A:B,2,FALSE)</f>
        <v>#N/A</v>
      </c>
      <c r="J275" s="1" t="e">
        <f>VLOOKUP(C275,CHEGADA!A:B,2,FALSE)</f>
        <v>#N/A</v>
      </c>
    </row>
    <row r="276" spans="4:10">
      <c r="D276" s="2" t="str">
        <f>IFERROR(LEFT(Tabela1[[#This Row],[N°S]],LEN(Tabela1[[#This Row],[N°S]])-1),"")</f>
        <v/>
      </c>
      <c r="E276" s="1" t="str" cm="1">
        <f t="array" ref="E276">IFERROR(time_diff_cor(Tabela1[[#This Row],[Largada]],Tabela1[[#This Row],[Chegada]]),"00:20:00:000")</f>
        <v>00:20:00:000</v>
      </c>
      <c r="G276" s="1" t="str" cm="1">
        <f t="array" ref="G276">IF(Tabela1[[#This Row],[N°S]]="","NONE",IF(Tabela1[[#This Row],[N°]]=D275,time_sum(G275,Tabela1[[#This Row],[TEMPO]]),Tabela1[[#This Row],[TEMPO]]))</f>
        <v>NONE</v>
      </c>
      <c r="I276" s="1" t="e">
        <f>VLOOKUP(C276,LARGADA!A:B,2,FALSE)</f>
        <v>#N/A</v>
      </c>
      <c r="J276" s="1" t="e">
        <f>VLOOKUP(C276,CHEGADA!A:B,2,FALSE)</f>
        <v>#N/A</v>
      </c>
    </row>
    <row r="277" spans="4:10">
      <c r="D277" s="2" t="str">
        <f>IFERROR(LEFT(Tabela1[[#This Row],[N°S]],LEN(Tabela1[[#This Row],[N°S]])-1),"")</f>
        <v/>
      </c>
      <c r="E277" s="1" t="str" cm="1">
        <f t="array" ref="E277">IFERROR(time_diff_cor(Tabela1[[#This Row],[Largada]],Tabela1[[#This Row],[Chegada]]),"00:20:00:000")</f>
        <v>00:20:00:000</v>
      </c>
      <c r="G277" s="1" t="str" cm="1">
        <f t="array" ref="G277">IF(Tabela1[[#This Row],[N°S]]="","NONE",IF(Tabela1[[#This Row],[N°]]=D276,time_sum(G276,Tabela1[[#This Row],[TEMPO]]),Tabela1[[#This Row],[TEMPO]]))</f>
        <v>NONE</v>
      </c>
      <c r="I277" s="1" t="e">
        <f>VLOOKUP(C277,LARGADA!A:B,2,FALSE)</f>
        <v>#N/A</v>
      </c>
      <c r="J277" s="1" t="e">
        <f>VLOOKUP(C277,CHEGADA!A:B,2,FALSE)</f>
        <v>#N/A</v>
      </c>
    </row>
    <row r="278" spans="4:10">
      <c r="D278" s="2" t="str">
        <f>IFERROR(LEFT(Tabela1[[#This Row],[N°S]],LEN(Tabela1[[#This Row],[N°S]])-1),"")</f>
        <v/>
      </c>
      <c r="E278" s="1" t="str" cm="1">
        <f t="array" ref="E278">IFERROR(time_diff_cor(Tabela1[[#This Row],[Largada]],Tabela1[[#This Row],[Chegada]]),"00:20:00:000")</f>
        <v>00:20:00:000</v>
      </c>
      <c r="G278" s="1" t="str" cm="1">
        <f t="array" ref="G278">IF(Tabela1[[#This Row],[N°S]]="","NONE",IF(Tabela1[[#This Row],[N°]]=D277,time_sum(G277,Tabela1[[#This Row],[TEMPO]]),Tabela1[[#This Row],[TEMPO]]))</f>
        <v>NONE</v>
      </c>
      <c r="I278" s="1" t="e">
        <f>VLOOKUP(C278,LARGADA!A:B,2,FALSE)</f>
        <v>#N/A</v>
      </c>
      <c r="J278" s="1" t="e">
        <f>VLOOKUP(C278,CHEGADA!A:B,2,FALSE)</f>
        <v>#N/A</v>
      </c>
    </row>
    <row r="279" spans="4:10">
      <c r="D279" s="2" t="str">
        <f>IFERROR(LEFT(Tabela1[[#This Row],[N°S]],LEN(Tabela1[[#This Row],[N°S]])-1),"")</f>
        <v/>
      </c>
      <c r="E279" s="1" t="str" cm="1">
        <f t="array" ref="E279">IFERROR(time_diff_cor(Tabela1[[#This Row],[Largada]],Tabela1[[#This Row],[Chegada]]),"00:20:00:000")</f>
        <v>00:20:00:000</v>
      </c>
      <c r="G279" s="1" t="str" cm="1">
        <f t="array" ref="G279">IF(Tabela1[[#This Row],[N°S]]="","NONE",IF(Tabela1[[#This Row],[N°]]=D278,time_sum(G278,Tabela1[[#This Row],[TEMPO]]),Tabela1[[#This Row],[TEMPO]]))</f>
        <v>NONE</v>
      </c>
      <c r="I279" s="1" t="e">
        <f>VLOOKUP(C279,LARGADA!A:B,2,FALSE)</f>
        <v>#N/A</v>
      </c>
      <c r="J279" s="1" t="e">
        <f>VLOOKUP(C279,CHEGADA!A:B,2,FALSE)</f>
        <v>#N/A</v>
      </c>
    </row>
    <row r="280" spans="4:10">
      <c r="D280" s="2" t="str">
        <f>IFERROR(LEFT(Tabela1[[#This Row],[N°S]],LEN(Tabela1[[#This Row],[N°S]])-1),"")</f>
        <v/>
      </c>
      <c r="E280" s="1" t="str" cm="1">
        <f t="array" ref="E280">IFERROR(time_diff_cor(Tabela1[[#This Row],[Largada]],Tabela1[[#This Row],[Chegada]]),"00:20:00:000")</f>
        <v>00:20:00:000</v>
      </c>
      <c r="G280" s="1" t="str" cm="1">
        <f t="array" ref="G280">IF(Tabela1[[#This Row],[N°S]]="","NONE",IF(Tabela1[[#This Row],[N°]]=D279,time_sum(G279,Tabela1[[#This Row],[TEMPO]]),Tabela1[[#This Row],[TEMPO]]))</f>
        <v>NONE</v>
      </c>
      <c r="I280" s="1" t="e">
        <f>VLOOKUP(C280,LARGADA!A:B,2,FALSE)</f>
        <v>#N/A</v>
      </c>
      <c r="J280" s="1" t="e">
        <f>VLOOKUP(C280,CHEGADA!A:B,2,FALSE)</f>
        <v>#N/A</v>
      </c>
    </row>
    <row r="281" spans="4:10">
      <c r="D281" s="2" t="str">
        <f>IFERROR(LEFT(Tabela1[[#This Row],[N°S]],LEN(Tabela1[[#This Row],[N°S]])-1),"")</f>
        <v/>
      </c>
      <c r="E281" s="1" t="str" cm="1">
        <f t="array" ref="E281">IFERROR(time_diff_cor(Tabela1[[#This Row],[Largada]],Tabela1[[#This Row],[Chegada]]),"00:20:00:000")</f>
        <v>00:20:00:000</v>
      </c>
      <c r="G281" s="1" t="str" cm="1">
        <f t="array" ref="G281">IF(Tabela1[[#This Row],[N°S]]="","NONE",IF(Tabela1[[#This Row],[N°]]=D280,time_sum(G280,Tabela1[[#This Row],[TEMPO]]),Tabela1[[#This Row],[TEMPO]]))</f>
        <v>NONE</v>
      </c>
      <c r="I281" s="1" t="e">
        <f>VLOOKUP(C281,LARGADA!A:B,2,FALSE)</f>
        <v>#N/A</v>
      </c>
      <c r="J281" s="1" t="e">
        <f>VLOOKUP(C281,CHEGADA!A:B,2,FALSE)</f>
        <v>#N/A</v>
      </c>
    </row>
    <row r="282" spans="4:10">
      <c r="D282" s="2" t="str">
        <f>IFERROR(LEFT(Tabela1[[#This Row],[N°S]],LEN(Tabela1[[#This Row],[N°S]])-1),"")</f>
        <v/>
      </c>
      <c r="E282" s="1" t="str" cm="1">
        <f t="array" ref="E282">IFERROR(time_diff_cor(Tabela1[[#This Row],[Largada]],Tabela1[[#This Row],[Chegada]]),"00:20:00:000")</f>
        <v>00:20:00:000</v>
      </c>
      <c r="G282" s="1" t="str" cm="1">
        <f t="array" ref="G282">IF(Tabela1[[#This Row],[N°S]]="","NONE",IF(Tabela1[[#This Row],[N°]]=D281,time_sum(G281,Tabela1[[#This Row],[TEMPO]]),Tabela1[[#This Row],[TEMPO]]))</f>
        <v>NONE</v>
      </c>
      <c r="I282" s="1" t="e">
        <f>VLOOKUP(C282,LARGADA!A:B,2,FALSE)</f>
        <v>#N/A</v>
      </c>
      <c r="J282" s="1" t="e">
        <f>VLOOKUP(C282,CHEGADA!A:B,2,FALSE)</f>
        <v>#N/A</v>
      </c>
    </row>
    <row r="283" spans="4:10">
      <c r="D283" s="2" t="str">
        <f>IFERROR(LEFT(Tabela1[[#This Row],[N°S]],LEN(Tabela1[[#This Row],[N°S]])-1),"")</f>
        <v/>
      </c>
      <c r="E283" s="1" t="str" cm="1">
        <f t="array" ref="E283">IFERROR(time_diff_cor(Tabela1[[#This Row],[Largada]],Tabela1[[#This Row],[Chegada]]),"00:20:00:000")</f>
        <v>00:20:00:000</v>
      </c>
      <c r="G283" s="1" t="str" cm="1">
        <f t="array" ref="G283">IF(Tabela1[[#This Row],[N°S]]="","NONE",IF(Tabela1[[#This Row],[N°]]=D282,time_sum(G282,Tabela1[[#This Row],[TEMPO]]),Tabela1[[#This Row],[TEMPO]]))</f>
        <v>NONE</v>
      </c>
      <c r="I283" s="1" t="e">
        <f>VLOOKUP(C283,LARGADA!A:B,2,FALSE)</f>
        <v>#N/A</v>
      </c>
      <c r="J283" s="1" t="e">
        <f>VLOOKUP(C283,CHEGADA!A:B,2,FALSE)</f>
        <v>#N/A</v>
      </c>
    </row>
    <row r="284" spans="4:10">
      <c r="D284" s="2" t="str">
        <f>IFERROR(LEFT(Tabela1[[#This Row],[N°S]],LEN(Tabela1[[#This Row],[N°S]])-1),"")</f>
        <v/>
      </c>
      <c r="E284" s="1" t="str" cm="1">
        <f t="array" ref="E284">IFERROR(time_diff_cor(Tabela1[[#This Row],[Largada]],Tabela1[[#This Row],[Chegada]]),"00:20:00:000")</f>
        <v>00:20:00:000</v>
      </c>
      <c r="G284" s="1" t="str" cm="1">
        <f t="array" ref="G284">IF(Tabela1[[#This Row],[N°S]]="","NONE",IF(Tabela1[[#This Row],[N°]]=D283,time_sum(G283,Tabela1[[#This Row],[TEMPO]]),Tabela1[[#This Row],[TEMPO]]))</f>
        <v>NONE</v>
      </c>
      <c r="I284" s="1" t="e">
        <f>VLOOKUP(C284,LARGADA!A:B,2,FALSE)</f>
        <v>#N/A</v>
      </c>
      <c r="J284" s="1" t="e">
        <f>VLOOKUP(C284,CHEGADA!A:B,2,FALSE)</f>
        <v>#N/A</v>
      </c>
    </row>
    <row r="285" spans="4:10">
      <c r="D285" s="2" t="str">
        <f>IFERROR(LEFT(Tabela1[[#This Row],[N°S]],LEN(Tabela1[[#This Row],[N°S]])-1),"")</f>
        <v/>
      </c>
      <c r="E285" s="1" t="str" cm="1">
        <f t="array" ref="E285">IFERROR(time_diff_cor(Tabela1[[#This Row],[Largada]],Tabela1[[#This Row],[Chegada]]),"00:20:00:000")</f>
        <v>00:20:00:000</v>
      </c>
      <c r="G285" s="1" t="str" cm="1">
        <f t="array" ref="G285">IF(Tabela1[[#This Row],[N°S]]="","NONE",IF(Tabela1[[#This Row],[N°]]=D284,time_sum(G284,Tabela1[[#This Row],[TEMPO]]),Tabela1[[#This Row],[TEMPO]]))</f>
        <v>NONE</v>
      </c>
      <c r="I285" s="1" t="e">
        <f>VLOOKUP(C285,LARGADA!A:B,2,FALSE)</f>
        <v>#N/A</v>
      </c>
      <c r="J285" s="1" t="e">
        <f>VLOOKUP(C285,CHEGADA!A:B,2,FALSE)</f>
        <v>#N/A</v>
      </c>
    </row>
    <row r="286" spans="4:10">
      <c r="D286" s="2" t="str">
        <f>IFERROR(LEFT(Tabela1[[#This Row],[N°S]],LEN(Tabela1[[#This Row],[N°S]])-1),"")</f>
        <v/>
      </c>
      <c r="E286" s="1" t="str" cm="1">
        <f t="array" ref="E286">IFERROR(time_diff_cor(Tabela1[[#This Row],[Largada]],Tabela1[[#This Row],[Chegada]]),"00:20:00:000")</f>
        <v>00:20:00:000</v>
      </c>
      <c r="G286" s="1" t="str" cm="1">
        <f t="array" ref="G286">IF(Tabela1[[#This Row],[N°S]]="","NONE",IF(Tabela1[[#This Row],[N°]]=D285,time_sum(G285,Tabela1[[#This Row],[TEMPO]]),Tabela1[[#This Row],[TEMPO]]))</f>
        <v>NONE</v>
      </c>
      <c r="I286" s="1" t="e">
        <f>VLOOKUP(C286,LARGADA!A:B,2,FALSE)</f>
        <v>#N/A</v>
      </c>
      <c r="J286" s="1" t="e">
        <f>VLOOKUP(C286,CHEGADA!A:B,2,FALSE)</f>
        <v>#N/A</v>
      </c>
    </row>
    <row r="287" spans="4:10">
      <c r="D287" s="2" t="str">
        <f>IFERROR(LEFT(Tabela1[[#This Row],[N°S]],LEN(Tabela1[[#This Row],[N°S]])-1),"")</f>
        <v/>
      </c>
      <c r="E287" s="1" t="str" cm="1">
        <f t="array" ref="E287">IFERROR(time_diff_cor(Tabela1[[#This Row],[Largada]],Tabela1[[#This Row],[Chegada]]),"00:20:00:000")</f>
        <v>00:20:00:000</v>
      </c>
      <c r="G287" s="1" t="str" cm="1">
        <f t="array" ref="G287">IF(Tabela1[[#This Row],[N°S]]="","NONE",IF(Tabela1[[#This Row],[N°]]=D286,time_sum(G286,Tabela1[[#This Row],[TEMPO]]),Tabela1[[#This Row],[TEMPO]]))</f>
        <v>NONE</v>
      </c>
      <c r="I287" s="1" t="e">
        <f>VLOOKUP(C287,LARGADA!A:B,2,FALSE)</f>
        <v>#N/A</v>
      </c>
      <c r="J287" s="1" t="e">
        <f>VLOOKUP(C287,CHEGADA!A:B,2,FALSE)</f>
        <v>#N/A</v>
      </c>
    </row>
    <row r="288" spans="4:10">
      <c r="D288" s="2" t="str">
        <f>IFERROR(LEFT(Tabela1[[#This Row],[N°S]],LEN(Tabela1[[#This Row],[N°S]])-1),"")</f>
        <v/>
      </c>
      <c r="E288" s="1" t="str" cm="1">
        <f t="array" ref="E288">IFERROR(time_diff_cor(Tabela1[[#This Row],[Largada]],Tabela1[[#This Row],[Chegada]]),"00:20:00:000")</f>
        <v>00:20:00:000</v>
      </c>
      <c r="G288" s="1" t="str" cm="1">
        <f t="array" ref="G288">IF(Tabela1[[#This Row],[N°S]]="","NONE",IF(Tabela1[[#This Row],[N°]]=D287,time_sum(G287,Tabela1[[#This Row],[TEMPO]]),Tabela1[[#This Row],[TEMPO]]))</f>
        <v>NONE</v>
      </c>
      <c r="I288" s="1" t="e">
        <f>VLOOKUP(C288,LARGADA!A:B,2,FALSE)</f>
        <v>#N/A</v>
      </c>
      <c r="J288" s="1" t="e">
        <f>VLOOKUP(C288,CHEGADA!A:B,2,FALSE)</f>
        <v>#N/A</v>
      </c>
    </row>
    <row r="289" spans="4:10">
      <c r="D289" s="2" t="str">
        <f>IFERROR(LEFT(Tabela1[[#This Row],[N°S]],LEN(Tabela1[[#This Row],[N°S]])-1),"")</f>
        <v/>
      </c>
      <c r="E289" s="1" t="str" cm="1">
        <f t="array" ref="E289">IFERROR(time_diff_cor(Tabela1[[#This Row],[Largada]],Tabela1[[#This Row],[Chegada]]),"00:20:00:000")</f>
        <v>00:20:00:000</v>
      </c>
      <c r="G289" s="1" t="str" cm="1">
        <f t="array" ref="G289">IF(Tabela1[[#This Row],[N°S]]="","NONE",IF(Tabela1[[#This Row],[N°]]=D288,time_sum(G288,Tabela1[[#This Row],[TEMPO]]),Tabela1[[#This Row],[TEMPO]]))</f>
        <v>NONE</v>
      </c>
      <c r="I289" s="1" t="e">
        <f>VLOOKUP(C289,LARGADA!A:B,2,FALSE)</f>
        <v>#N/A</v>
      </c>
      <c r="J289" s="1" t="e">
        <f>VLOOKUP(C289,CHEGADA!A:B,2,FALSE)</f>
        <v>#N/A</v>
      </c>
    </row>
    <row r="290" spans="4:10">
      <c r="D290" s="2" t="str">
        <f>IFERROR(LEFT(Tabela1[[#This Row],[N°S]],LEN(Tabela1[[#This Row],[N°S]])-1),"")</f>
        <v/>
      </c>
      <c r="E290" s="1" t="str" cm="1">
        <f t="array" ref="E290">IFERROR(time_diff_cor(Tabela1[[#This Row],[Largada]],Tabela1[[#This Row],[Chegada]]),"00:20:00:000")</f>
        <v>00:20:00:000</v>
      </c>
      <c r="G290" s="1" t="str" cm="1">
        <f t="array" ref="G290">IF(Tabela1[[#This Row],[N°S]]="","NONE",IF(Tabela1[[#This Row],[N°]]=D289,time_sum(G289,Tabela1[[#This Row],[TEMPO]]),Tabela1[[#This Row],[TEMPO]]))</f>
        <v>NONE</v>
      </c>
      <c r="I290" s="1" t="e">
        <f>VLOOKUP(C290,LARGADA!A:B,2,FALSE)</f>
        <v>#N/A</v>
      </c>
      <c r="J290" s="1" t="e">
        <f>VLOOKUP(C290,CHEGADA!A:B,2,FALSE)</f>
        <v>#N/A</v>
      </c>
    </row>
    <row r="291" spans="4:10">
      <c r="D291" s="2" t="str">
        <f>IFERROR(LEFT(Tabela1[[#This Row],[N°S]],LEN(Tabela1[[#This Row],[N°S]])-1),"")</f>
        <v/>
      </c>
      <c r="E291" s="1" t="str" cm="1">
        <f t="array" ref="E291">IFERROR(time_diff_cor(Tabela1[[#This Row],[Largada]],Tabela1[[#This Row],[Chegada]]),"00:20:00:000")</f>
        <v>00:20:00:000</v>
      </c>
      <c r="G291" s="1" t="str" cm="1">
        <f t="array" ref="G291">IF(Tabela1[[#This Row],[N°S]]="","NONE",IF(Tabela1[[#This Row],[N°]]=D290,time_sum(G290,Tabela1[[#This Row],[TEMPO]]),Tabela1[[#This Row],[TEMPO]]))</f>
        <v>NONE</v>
      </c>
      <c r="I291" s="1" t="e">
        <f>VLOOKUP(C291,LARGADA!A:B,2,FALSE)</f>
        <v>#N/A</v>
      </c>
      <c r="J291" s="1" t="e">
        <f>VLOOKUP(C291,CHEGADA!A:B,2,FALSE)</f>
        <v>#N/A</v>
      </c>
    </row>
    <row r="292" spans="4:10">
      <c r="D292" s="2" t="str">
        <f>IFERROR(LEFT(Tabela1[[#This Row],[N°S]],LEN(Tabela1[[#This Row],[N°S]])-1),"")</f>
        <v/>
      </c>
      <c r="E292" s="1" t="str" cm="1">
        <f t="array" ref="E292">IFERROR(time_diff_cor(Tabela1[[#This Row],[Largada]],Tabela1[[#This Row],[Chegada]]),"00:20:00:000")</f>
        <v>00:20:00:000</v>
      </c>
      <c r="G292" s="1" t="str" cm="1">
        <f t="array" ref="G292">IF(Tabela1[[#This Row],[N°S]]="","NONE",IF(Tabela1[[#This Row],[N°]]=D291,time_sum(G291,Tabela1[[#This Row],[TEMPO]]),Tabela1[[#This Row],[TEMPO]]))</f>
        <v>NONE</v>
      </c>
      <c r="I292" s="1" t="e">
        <f>VLOOKUP(C292,LARGADA!A:B,2,FALSE)</f>
        <v>#N/A</v>
      </c>
      <c r="J292" s="1" t="e">
        <f>VLOOKUP(C292,CHEGADA!A:B,2,FALSE)</f>
        <v>#N/A</v>
      </c>
    </row>
    <row r="293" spans="4:10">
      <c r="D293" s="2" t="str">
        <f>IFERROR(LEFT(Tabela1[[#This Row],[N°S]],LEN(Tabela1[[#This Row],[N°S]])-1),"")</f>
        <v/>
      </c>
      <c r="E293" s="1" t="str" cm="1">
        <f t="array" ref="E293">IFERROR(time_diff_cor(Tabela1[[#This Row],[Largada]],Tabela1[[#This Row],[Chegada]]),"00:20:00:000")</f>
        <v>00:20:00:000</v>
      </c>
      <c r="G293" s="1" t="str" cm="1">
        <f t="array" ref="G293">IF(Tabela1[[#This Row],[N°S]]="","NONE",IF(Tabela1[[#This Row],[N°]]=D292,time_sum(G292,Tabela1[[#This Row],[TEMPO]]),Tabela1[[#This Row],[TEMPO]]))</f>
        <v>NONE</v>
      </c>
      <c r="I293" s="1" t="e">
        <f>VLOOKUP(C293,LARGADA!A:B,2,FALSE)</f>
        <v>#N/A</v>
      </c>
      <c r="J293" s="1" t="e">
        <f>VLOOKUP(C293,CHEGADA!A:B,2,FALSE)</f>
        <v>#N/A</v>
      </c>
    </row>
    <row r="294" spans="4:10">
      <c r="D294" s="2" t="str">
        <f>IFERROR(LEFT(Tabela1[[#This Row],[N°S]],LEN(Tabela1[[#This Row],[N°S]])-1),"")</f>
        <v/>
      </c>
      <c r="E294" s="1" t="str" cm="1">
        <f t="array" ref="E294">IFERROR(time_diff_cor(Tabela1[[#This Row],[Largada]],Tabela1[[#This Row],[Chegada]]),"00:20:00:000")</f>
        <v>00:20:00:000</v>
      </c>
      <c r="G294" s="1" t="str" cm="1">
        <f t="array" ref="G294">IF(Tabela1[[#This Row],[N°S]]="","NONE",IF(Tabela1[[#This Row],[N°]]=D293,time_sum(G293,Tabela1[[#This Row],[TEMPO]]),Tabela1[[#This Row],[TEMPO]]))</f>
        <v>NONE</v>
      </c>
      <c r="I294" s="1" t="e">
        <f>VLOOKUP(C294,LARGADA!A:B,2,FALSE)</f>
        <v>#N/A</v>
      </c>
      <c r="J294" s="1" t="e">
        <f>VLOOKUP(C294,CHEGADA!A:B,2,FALSE)</f>
        <v>#N/A</v>
      </c>
    </row>
    <row r="295" spans="4:10">
      <c r="D295" s="2" t="str">
        <f>IFERROR(LEFT(Tabela1[[#This Row],[N°S]],LEN(Tabela1[[#This Row],[N°S]])-1),"")</f>
        <v/>
      </c>
      <c r="E295" s="1" t="str" cm="1">
        <f t="array" ref="E295">IFERROR(time_diff_cor(Tabela1[[#This Row],[Largada]],Tabela1[[#This Row],[Chegada]]),"00:20:00:000")</f>
        <v>00:20:00:000</v>
      </c>
      <c r="G295" s="1" t="str" cm="1">
        <f t="array" ref="G295">IF(Tabela1[[#This Row],[N°S]]="","NONE",IF(Tabela1[[#This Row],[N°]]=D294,time_sum(G294,Tabela1[[#This Row],[TEMPO]]),Tabela1[[#This Row],[TEMPO]]))</f>
        <v>NONE</v>
      </c>
      <c r="I295" s="1" t="e">
        <f>VLOOKUP(C295,LARGADA!A:B,2,FALSE)</f>
        <v>#N/A</v>
      </c>
      <c r="J295" s="1" t="e">
        <f>VLOOKUP(C295,CHEGADA!A:B,2,FALSE)</f>
        <v>#N/A</v>
      </c>
    </row>
    <row r="296" spans="4:10">
      <c r="D296" s="2" t="str">
        <f>IFERROR(LEFT(Tabela1[[#This Row],[N°S]],LEN(Tabela1[[#This Row],[N°S]])-1),"")</f>
        <v/>
      </c>
      <c r="E296" s="1" t="str" cm="1">
        <f t="array" ref="E296">IFERROR(time_diff_cor(Tabela1[[#This Row],[Largada]],Tabela1[[#This Row],[Chegada]]),"00:20:00:000")</f>
        <v>00:20:00:000</v>
      </c>
      <c r="G296" s="1" t="str" cm="1">
        <f t="array" ref="G296">IF(Tabela1[[#This Row],[N°S]]="","NONE",IF(Tabela1[[#This Row],[N°]]=D295,time_sum(G295,Tabela1[[#This Row],[TEMPO]]),Tabela1[[#This Row],[TEMPO]]))</f>
        <v>NONE</v>
      </c>
      <c r="I296" s="1" t="e">
        <f>VLOOKUP(C296,LARGADA!A:B,2,FALSE)</f>
        <v>#N/A</v>
      </c>
      <c r="J296" s="1" t="e">
        <f>VLOOKUP(C296,CHEGADA!A:B,2,FALSE)</f>
        <v>#N/A</v>
      </c>
    </row>
    <row r="297" spans="4:10">
      <c r="D297" s="2" t="str">
        <f>IFERROR(LEFT(Tabela1[[#This Row],[N°S]],LEN(Tabela1[[#This Row],[N°S]])-1),"")</f>
        <v/>
      </c>
      <c r="E297" s="1" t="str" cm="1">
        <f t="array" ref="E297">IFERROR(time_diff_cor(Tabela1[[#This Row],[Largada]],Tabela1[[#This Row],[Chegada]]),"00:20:00:000")</f>
        <v>00:20:00:000</v>
      </c>
      <c r="G297" s="1" t="str" cm="1">
        <f t="array" ref="G297">IF(Tabela1[[#This Row],[N°S]]="","NONE",IF(Tabela1[[#This Row],[N°]]=D296,time_sum(G296,Tabela1[[#This Row],[TEMPO]]),Tabela1[[#This Row],[TEMPO]]))</f>
        <v>NONE</v>
      </c>
      <c r="I297" s="1" t="e">
        <f>VLOOKUP(C297,LARGADA!A:B,2,FALSE)</f>
        <v>#N/A</v>
      </c>
      <c r="J297" s="1" t="e">
        <f>VLOOKUP(C297,CHEGADA!A:B,2,FALSE)</f>
        <v>#N/A</v>
      </c>
    </row>
    <row r="298" spans="4:10">
      <c r="D298" s="2" t="str">
        <f>IFERROR(LEFT(Tabela1[[#This Row],[N°S]],LEN(Tabela1[[#This Row],[N°S]])-1),"")</f>
        <v/>
      </c>
      <c r="E298" s="1" t="str" cm="1">
        <f t="array" ref="E298">IFERROR(time_diff_cor(Tabela1[[#This Row],[Largada]],Tabela1[[#This Row],[Chegada]]),"00:20:00:000")</f>
        <v>00:20:00:000</v>
      </c>
      <c r="G298" s="1" t="str" cm="1">
        <f t="array" ref="G298">IF(Tabela1[[#This Row],[N°S]]="","NONE",IF(Tabela1[[#This Row],[N°]]=D297,time_sum(G297,Tabela1[[#This Row],[TEMPO]]),Tabela1[[#This Row],[TEMPO]]))</f>
        <v>NONE</v>
      </c>
      <c r="I298" s="1" t="e">
        <f>VLOOKUP(C298,LARGADA!A:B,2,FALSE)</f>
        <v>#N/A</v>
      </c>
      <c r="J298" s="1" t="e">
        <f>VLOOKUP(C298,CHEGADA!A:B,2,FALSE)</f>
        <v>#N/A</v>
      </c>
    </row>
    <row r="299" spans="4:10">
      <c r="D299" s="2" t="str">
        <f>IFERROR(LEFT(Tabela1[[#This Row],[N°S]],LEN(Tabela1[[#This Row],[N°S]])-1),"")</f>
        <v/>
      </c>
      <c r="E299" s="1" t="str" cm="1">
        <f t="array" ref="E299">IFERROR(time_diff_cor(Tabela1[[#This Row],[Largada]],Tabela1[[#This Row],[Chegada]]),"00:20:00:000")</f>
        <v>00:20:00:000</v>
      </c>
      <c r="G299" s="1" t="str" cm="1">
        <f t="array" ref="G299">IF(Tabela1[[#This Row],[N°S]]="","NONE",IF(Tabela1[[#This Row],[N°]]=D298,time_sum(G298,Tabela1[[#This Row],[TEMPO]]),Tabela1[[#This Row],[TEMPO]]))</f>
        <v>NONE</v>
      </c>
      <c r="I299" s="1" t="e">
        <f>VLOOKUP(C299,LARGADA!A:B,2,FALSE)</f>
        <v>#N/A</v>
      </c>
      <c r="J299" s="1" t="e">
        <f>VLOOKUP(C299,CHEGADA!A:B,2,FALSE)</f>
        <v>#N/A</v>
      </c>
    </row>
    <row r="300" spans="4:10">
      <c r="D300" s="2" t="str">
        <f>IFERROR(LEFT(Tabela1[[#This Row],[N°S]],LEN(Tabela1[[#This Row],[N°S]])-1),"")</f>
        <v/>
      </c>
      <c r="E300" s="1" t="str" cm="1">
        <f t="array" ref="E300">IFERROR(time_diff_cor(Tabela1[[#This Row],[Largada]],Tabela1[[#This Row],[Chegada]]),"00:20:00:000")</f>
        <v>00:20:00:000</v>
      </c>
      <c r="G300" s="1" t="str" cm="1">
        <f t="array" ref="G300">IF(Tabela1[[#This Row],[N°S]]="","NONE",IF(Tabela1[[#This Row],[N°]]=D299,time_sum(G299,Tabela1[[#This Row],[TEMPO]]),Tabela1[[#This Row],[TEMPO]]))</f>
        <v>NONE</v>
      </c>
      <c r="I300" s="1" t="e">
        <f>VLOOKUP(C300,LARGADA!A:B,2,FALSE)</f>
        <v>#N/A</v>
      </c>
      <c r="J300" s="1" t="e">
        <f>VLOOKUP(C300,CHEGADA!A:B,2,FALSE)</f>
        <v>#N/A</v>
      </c>
    </row>
    <row r="301" spans="4:10">
      <c r="D301" s="2" t="str">
        <f>IFERROR(LEFT(Tabela1[[#This Row],[N°S]],LEN(Tabela1[[#This Row],[N°S]])-1),"")</f>
        <v/>
      </c>
      <c r="E301" s="1" t="str" cm="1">
        <f t="array" ref="E301">IFERROR(time_diff_cor(Tabela1[[#This Row],[Largada]],Tabela1[[#This Row],[Chegada]]),"00:20:00:000")</f>
        <v>00:20:00:000</v>
      </c>
      <c r="G301" s="1" t="str" cm="1">
        <f t="array" ref="G301">IF(Tabela1[[#This Row],[N°S]]="","NONE",IF(Tabela1[[#This Row],[N°]]=D300,time_sum(G300,Tabela1[[#This Row],[TEMPO]]),Tabela1[[#This Row],[TEMPO]]))</f>
        <v>NONE</v>
      </c>
      <c r="I301" s="1" t="e">
        <f>VLOOKUP(C301,LARGADA!A:B,2,FALSE)</f>
        <v>#N/A</v>
      </c>
      <c r="J301" s="1" t="e">
        <f>VLOOKUP(C301,CHEGADA!A:B,2,FALSE)</f>
        <v>#N/A</v>
      </c>
    </row>
    <row r="302" spans="4:10">
      <c r="D302" s="2" t="str">
        <f>IFERROR(LEFT(Tabela1[[#This Row],[N°S]],LEN(Tabela1[[#This Row],[N°S]])-1),"")</f>
        <v/>
      </c>
      <c r="E302" s="1" t="str" cm="1">
        <f t="array" ref="E302">IFERROR(time_diff_cor(Tabela1[[#This Row],[Largada]],Tabela1[[#This Row],[Chegada]]),"00:20:00:000")</f>
        <v>00:20:00:000</v>
      </c>
      <c r="G302" s="1" t="str" cm="1">
        <f t="array" ref="G302">IF(Tabela1[[#This Row],[N°S]]="","NONE",IF(Tabela1[[#This Row],[N°]]=D301,time_sum(G301,Tabela1[[#This Row],[TEMPO]]),Tabela1[[#This Row],[TEMPO]]))</f>
        <v>NONE</v>
      </c>
      <c r="I302" s="1" t="e">
        <f>VLOOKUP(C302,LARGADA!A:B,2,FALSE)</f>
        <v>#N/A</v>
      </c>
      <c r="J302" s="1" t="e">
        <f>VLOOKUP(C302,CHEGADA!A:B,2,FALSE)</f>
        <v>#N/A</v>
      </c>
    </row>
    <row r="303" spans="4:10">
      <c r="D303" s="2" t="str">
        <f>IFERROR(LEFT(Tabela1[[#This Row],[N°S]],LEN(Tabela1[[#This Row],[N°S]])-1),"")</f>
        <v/>
      </c>
      <c r="E303" s="1" t="str" cm="1">
        <f t="array" ref="E303">IFERROR(time_diff_cor(Tabela1[[#This Row],[Largada]],Tabela1[[#This Row],[Chegada]]),"00:20:00:000")</f>
        <v>00:20:00:000</v>
      </c>
      <c r="G303" s="1" t="str" cm="1">
        <f t="array" ref="G303">IF(Tabela1[[#This Row],[N°S]]="","NONE",IF(Tabela1[[#This Row],[N°]]=D302,time_sum(G302,Tabela1[[#This Row],[TEMPO]]),Tabela1[[#This Row],[TEMPO]]))</f>
        <v>NONE</v>
      </c>
      <c r="I303" s="1" t="e">
        <f>VLOOKUP(C303,LARGADA!A:B,2,FALSE)</f>
        <v>#N/A</v>
      </c>
      <c r="J303" s="1" t="e">
        <f>VLOOKUP(C303,CHEGADA!A:B,2,FALSE)</f>
        <v>#N/A</v>
      </c>
    </row>
    <row r="304" spans="4:10">
      <c r="D304" s="2" t="str">
        <f>IFERROR(LEFT(Tabela1[[#This Row],[N°S]],LEN(Tabela1[[#This Row],[N°S]])-1),"")</f>
        <v/>
      </c>
      <c r="E304" s="1" t="str" cm="1">
        <f t="array" ref="E304">IFERROR(time_diff_cor(Tabela1[[#This Row],[Largada]],Tabela1[[#This Row],[Chegada]]),"00:20:00:000")</f>
        <v>00:20:00:000</v>
      </c>
      <c r="G304" s="1" t="str" cm="1">
        <f t="array" ref="G304">IF(Tabela1[[#This Row],[N°S]]="","NONE",IF(Tabela1[[#This Row],[N°]]=D303,time_sum(G303,Tabela1[[#This Row],[TEMPO]]),Tabela1[[#This Row],[TEMPO]]))</f>
        <v>NONE</v>
      </c>
      <c r="I304" s="1" t="e">
        <f>VLOOKUP(C304,LARGADA!A:B,2,FALSE)</f>
        <v>#N/A</v>
      </c>
      <c r="J304" s="1" t="e">
        <f>VLOOKUP(C304,CHEGADA!A:B,2,FALSE)</f>
        <v>#N/A</v>
      </c>
    </row>
    <row r="305" spans="4:10">
      <c r="D305" s="2" t="str">
        <f>IFERROR(LEFT(Tabela1[[#This Row],[N°S]],LEN(Tabela1[[#This Row],[N°S]])-1),"")</f>
        <v/>
      </c>
      <c r="E305" s="1" t="str" cm="1">
        <f t="array" ref="E305">IFERROR(time_diff_cor(Tabela1[[#This Row],[Largada]],Tabela1[[#This Row],[Chegada]]),"00:20:00:000")</f>
        <v>00:20:00:000</v>
      </c>
      <c r="G305" s="1" t="str" cm="1">
        <f t="array" ref="G305">IF(Tabela1[[#This Row],[N°S]]="","NONE",IF(Tabela1[[#This Row],[N°]]=D304,time_sum(G304,Tabela1[[#This Row],[TEMPO]]),Tabela1[[#This Row],[TEMPO]]))</f>
        <v>NONE</v>
      </c>
      <c r="I305" s="1" t="e">
        <f>VLOOKUP(C305,LARGADA!A:B,2,FALSE)</f>
        <v>#N/A</v>
      </c>
      <c r="J305" s="1" t="e">
        <f>VLOOKUP(C305,CHEGADA!A:B,2,FALSE)</f>
        <v>#N/A</v>
      </c>
    </row>
    <row r="306" spans="4:10">
      <c r="D306" s="2" t="str">
        <f>IFERROR(LEFT(Tabela1[[#This Row],[N°S]],LEN(Tabela1[[#This Row],[N°S]])-1),"")</f>
        <v/>
      </c>
      <c r="E306" s="1" t="str" cm="1">
        <f t="array" ref="E306">IFERROR(time_diff_cor(Tabela1[[#This Row],[Largada]],Tabela1[[#This Row],[Chegada]]),"00:20:00:000")</f>
        <v>00:20:00:000</v>
      </c>
      <c r="G306" s="1" t="str" cm="1">
        <f t="array" ref="G306">IF(Tabela1[[#This Row],[N°S]]="","NONE",IF(Tabela1[[#This Row],[N°]]=D305,time_sum(G305,Tabela1[[#This Row],[TEMPO]]),Tabela1[[#This Row],[TEMPO]]))</f>
        <v>NONE</v>
      </c>
      <c r="I306" s="1" t="e">
        <f>VLOOKUP(C306,LARGADA!A:B,2,FALSE)</f>
        <v>#N/A</v>
      </c>
      <c r="J306" s="1" t="e">
        <f>VLOOKUP(C306,CHEGADA!A:B,2,FALSE)</f>
        <v>#N/A</v>
      </c>
    </row>
    <row r="307" spans="4:10">
      <c r="D307" s="2" t="str">
        <f>IFERROR(LEFT(Tabela1[[#This Row],[N°S]],LEN(Tabela1[[#This Row],[N°S]])-1),"")</f>
        <v/>
      </c>
      <c r="E307" s="1" t="str" cm="1">
        <f t="array" ref="E307">IFERROR(time_diff_cor(Tabela1[[#This Row],[Largada]],Tabela1[[#This Row],[Chegada]]),"00:20:00:000")</f>
        <v>00:20:00:000</v>
      </c>
      <c r="G307" s="1" t="str" cm="1">
        <f t="array" ref="G307">IF(Tabela1[[#This Row],[N°S]]="","NONE",IF(Tabela1[[#This Row],[N°]]=D306,time_sum(G306,Tabela1[[#This Row],[TEMPO]]),Tabela1[[#This Row],[TEMPO]]))</f>
        <v>NONE</v>
      </c>
      <c r="I307" s="1" t="e">
        <f>VLOOKUP(C307,LARGADA!A:B,2,FALSE)</f>
        <v>#N/A</v>
      </c>
      <c r="J307" s="1" t="e">
        <f>VLOOKUP(C307,CHEGADA!A:B,2,FALSE)</f>
        <v>#N/A</v>
      </c>
    </row>
    <row r="308" spans="4:10">
      <c r="D308" s="2" t="str">
        <f>IFERROR(LEFT(Tabela1[[#This Row],[N°S]],LEN(Tabela1[[#This Row],[N°S]])-1),"")</f>
        <v/>
      </c>
      <c r="E308" s="1" t="str" cm="1">
        <f t="array" ref="E308">IFERROR(time_diff_cor(Tabela1[[#This Row],[Largada]],Tabela1[[#This Row],[Chegada]]),"00:20:00:000")</f>
        <v>00:20:00:000</v>
      </c>
      <c r="G308" s="1" t="str" cm="1">
        <f t="array" ref="G308">IF(Tabela1[[#This Row],[N°S]]="","NONE",IF(Tabela1[[#This Row],[N°]]=D307,time_sum(G307,Tabela1[[#This Row],[TEMPO]]),Tabela1[[#This Row],[TEMPO]]))</f>
        <v>NONE</v>
      </c>
      <c r="I308" s="1" t="e">
        <f>VLOOKUP(C308,LARGADA!A:B,2,FALSE)</f>
        <v>#N/A</v>
      </c>
      <c r="J308" s="1" t="e">
        <f>VLOOKUP(C308,CHEGADA!A:B,2,FALSE)</f>
        <v>#N/A</v>
      </c>
    </row>
    <row r="309" spans="4:10">
      <c r="D309" s="2" t="str">
        <f>IFERROR(LEFT(Tabela1[[#This Row],[N°S]],LEN(Tabela1[[#This Row],[N°S]])-1),"")</f>
        <v/>
      </c>
      <c r="E309" s="1" t="str" cm="1">
        <f t="array" ref="E309">IFERROR(time_diff_cor(Tabela1[[#This Row],[Largada]],Tabela1[[#This Row],[Chegada]]),"00:20:00:000")</f>
        <v>00:20:00:000</v>
      </c>
      <c r="G309" s="1" t="str" cm="1">
        <f t="array" ref="G309">IF(Tabela1[[#This Row],[N°S]]="","NONE",IF(Tabela1[[#This Row],[N°]]=D308,time_sum(G308,Tabela1[[#This Row],[TEMPO]]),Tabela1[[#This Row],[TEMPO]]))</f>
        <v>NONE</v>
      </c>
      <c r="I309" s="1" t="e">
        <f>VLOOKUP(C309,LARGADA!A:B,2,FALSE)</f>
        <v>#N/A</v>
      </c>
      <c r="J309" s="1" t="e">
        <f>VLOOKUP(C309,CHEGADA!A:B,2,FALSE)</f>
        <v>#N/A</v>
      </c>
    </row>
    <row r="310" spans="4:10">
      <c r="D310" s="2" t="str">
        <f>IFERROR(LEFT(Tabela1[[#This Row],[N°S]],LEN(Tabela1[[#This Row],[N°S]])-1),"")</f>
        <v/>
      </c>
      <c r="E310" s="1" t="str" cm="1">
        <f t="array" ref="E310">IFERROR(time_diff_cor(Tabela1[[#This Row],[Largada]],Tabela1[[#This Row],[Chegada]]),"00:20:00:000")</f>
        <v>00:20:00:000</v>
      </c>
      <c r="G310" s="1" t="str" cm="1">
        <f t="array" ref="G310">IF(Tabela1[[#This Row],[N°S]]="","NONE",IF(Tabela1[[#This Row],[N°]]=D309,time_sum(G309,Tabela1[[#This Row],[TEMPO]]),Tabela1[[#This Row],[TEMPO]]))</f>
        <v>NONE</v>
      </c>
      <c r="I310" s="1" t="e">
        <f>VLOOKUP(C310,LARGADA!A:B,2,FALSE)</f>
        <v>#N/A</v>
      </c>
      <c r="J310" s="1" t="e">
        <f>VLOOKUP(C310,CHEGADA!A:B,2,FALSE)</f>
        <v>#N/A</v>
      </c>
    </row>
    <row r="311" spans="4:10">
      <c r="D311" s="2" t="str">
        <f>IFERROR(LEFT(Tabela1[[#This Row],[N°S]],LEN(Tabela1[[#This Row],[N°S]])-1),"")</f>
        <v/>
      </c>
      <c r="E311" s="1" t="str" cm="1">
        <f t="array" ref="E311">IFERROR(time_diff_cor(Tabela1[[#This Row],[Largada]],Tabela1[[#This Row],[Chegada]]),"00:20:00:000")</f>
        <v>00:20:00:000</v>
      </c>
      <c r="G311" s="1" t="str" cm="1">
        <f t="array" ref="G311">IF(Tabela1[[#This Row],[N°S]]="","NONE",IF(Tabela1[[#This Row],[N°]]=D310,time_sum(G310,Tabela1[[#This Row],[TEMPO]]),Tabela1[[#This Row],[TEMPO]]))</f>
        <v>NONE</v>
      </c>
      <c r="I311" s="1" t="e">
        <f>VLOOKUP(C311,LARGADA!A:B,2,FALSE)</f>
        <v>#N/A</v>
      </c>
      <c r="J311" s="1" t="e">
        <f>VLOOKUP(C311,CHEGADA!A:B,2,FALSE)</f>
        <v>#N/A</v>
      </c>
    </row>
    <row r="312" spans="4:10">
      <c r="D312" s="2" t="str">
        <f>IFERROR(LEFT(Tabela1[[#This Row],[N°S]],LEN(Tabela1[[#This Row],[N°S]])-1),"")</f>
        <v/>
      </c>
      <c r="E312" s="1" t="str" cm="1">
        <f t="array" ref="E312">IFERROR(time_diff_cor(Tabela1[[#This Row],[Largada]],Tabela1[[#This Row],[Chegada]]),"00:20:00:000")</f>
        <v>00:20:00:000</v>
      </c>
      <c r="G312" s="1" t="str" cm="1">
        <f t="array" ref="G312">IF(Tabela1[[#This Row],[N°S]]="","NONE",IF(Tabela1[[#This Row],[N°]]=D311,time_sum(G311,Tabela1[[#This Row],[TEMPO]]),Tabela1[[#This Row],[TEMPO]]))</f>
        <v>NONE</v>
      </c>
      <c r="I312" s="1" t="e">
        <f>VLOOKUP(C312,LARGADA!A:B,2,FALSE)</f>
        <v>#N/A</v>
      </c>
      <c r="J312" s="1" t="e">
        <f>VLOOKUP(C312,CHEGADA!A:B,2,FALSE)</f>
        <v>#N/A</v>
      </c>
    </row>
    <row r="313" spans="4:10">
      <c r="D313" s="2" t="str">
        <f>IFERROR(LEFT(Tabela1[[#This Row],[N°S]],LEN(Tabela1[[#This Row],[N°S]])-1),"")</f>
        <v/>
      </c>
      <c r="E313" s="1" t="str" cm="1">
        <f t="array" ref="E313">IFERROR(time_diff_cor(Tabela1[[#This Row],[Largada]],Tabela1[[#This Row],[Chegada]]),"00:20:00:000")</f>
        <v>00:20:00:000</v>
      </c>
      <c r="G313" s="1" t="str" cm="1">
        <f t="array" ref="G313">IF(Tabela1[[#This Row],[N°S]]="","NONE",IF(Tabela1[[#This Row],[N°]]=D312,time_sum(G312,Tabela1[[#This Row],[TEMPO]]),Tabela1[[#This Row],[TEMPO]]))</f>
        <v>NONE</v>
      </c>
      <c r="I313" s="1" t="e">
        <f>VLOOKUP(C313,LARGADA!A:B,2,FALSE)</f>
        <v>#N/A</v>
      </c>
      <c r="J313" s="1" t="e">
        <f>VLOOKUP(C313,CHEGADA!A:B,2,FALSE)</f>
        <v>#N/A</v>
      </c>
    </row>
    <row r="314" spans="4:10">
      <c r="D314" s="2" t="str">
        <f>IFERROR(LEFT(Tabela1[[#This Row],[N°S]],LEN(Tabela1[[#This Row],[N°S]])-1),"")</f>
        <v/>
      </c>
      <c r="E314" s="1" t="str" cm="1">
        <f t="array" ref="E314">IFERROR(time_diff_cor(Tabela1[[#This Row],[Largada]],Tabela1[[#This Row],[Chegada]]),"00:20:00:000")</f>
        <v>00:20:00:000</v>
      </c>
      <c r="G314" s="1" t="str" cm="1">
        <f t="array" ref="G314">IF(Tabela1[[#This Row],[N°S]]="","NONE",IF(Tabela1[[#This Row],[N°]]=D313,time_sum(G313,Tabela1[[#This Row],[TEMPO]]),Tabela1[[#This Row],[TEMPO]]))</f>
        <v>NONE</v>
      </c>
      <c r="I314" s="1" t="e">
        <f>VLOOKUP(C314,LARGADA!A:B,2,FALSE)</f>
        <v>#N/A</v>
      </c>
      <c r="J314" s="1" t="e">
        <f>VLOOKUP(C314,CHEGADA!A:B,2,FALSE)</f>
        <v>#N/A</v>
      </c>
    </row>
    <row r="315" spans="4:10">
      <c r="D315" s="2" t="str">
        <f>IFERROR(LEFT(Tabela1[[#This Row],[N°S]],LEN(Tabela1[[#This Row],[N°S]])-1),"")</f>
        <v/>
      </c>
      <c r="E315" s="1" t="str" cm="1">
        <f t="array" ref="E315">IFERROR(time_diff_cor(Tabela1[[#This Row],[Largada]],Tabela1[[#This Row],[Chegada]]),"00:20:00:000")</f>
        <v>00:20:00:000</v>
      </c>
      <c r="G315" s="1" t="str" cm="1">
        <f t="array" ref="G315">IF(Tabela1[[#This Row],[N°S]]="","NONE",IF(Tabela1[[#This Row],[N°]]=D314,time_sum(G314,Tabela1[[#This Row],[TEMPO]]),Tabela1[[#This Row],[TEMPO]]))</f>
        <v>NONE</v>
      </c>
      <c r="I315" s="1" t="e">
        <f>VLOOKUP(C315,LARGADA!A:B,2,FALSE)</f>
        <v>#N/A</v>
      </c>
      <c r="J315" s="1" t="e">
        <f>VLOOKUP(C315,CHEGADA!A:B,2,FALSE)</f>
        <v>#N/A</v>
      </c>
    </row>
    <row r="316" spans="4:10">
      <c r="D316" s="2" t="str">
        <f>IFERROR(LEFT(Tabela1[[#This Row],[N°S]],LEN(Tabela1[[#This Row],[N°S]])-1),"")</f>
        <v/>
      </c>
      <c r="E316" s="1" t="str" cm="1">
        <f t="array" ref="E316">IFERROR(time_diff_cor(Tabela1[[#This Row],[Largada]],Tabela1[[#This Row],[Chegada]]),"00:20:00:000")</f>
        <v>00:20:00:000</v>
      </c>
      <c r="G316" s="1" t="str" cm="1">
        <f t="array" ref="G316">IF(Tabela1[[#This Row],[N°S]]="","NONE",IF(Tabela1[[#This Row],[N°]]=D315,time_sum(G315,Tabela1[[#This Row],[TEMPO]]),Tabela1[[#This Row],[TEMPO]]))</f>
        <v>NONE</v>
      </c>
      <c r="I316" s="1" t="e">
        <f>VLOOKUP(C316,LARGADA!A:B,2,FALSE)</f>
        <v>#N/A</v>
      </c>
      <c r="J316" s="1" t="e">
        <f>VLOOKUP(C316,CHEGADA!A:B,2,FALSE)</f>
        <v>#N/A</v>
      </c>
    </row>
    <row r="317" spans="4:10">
      <c r="D317" s="2" t="str">
        <f>IFERROR(LEFT(Tabela1[[#This Row],[N°S]],LEN(Tabela1[[#This Row],[N°S]])-1),"")</f>
        <v/>
      </c>
      <c r="E317" s="1" t="str" cm="1">
        <f t="array" ref="E317">IFERROR(time_diff_cor(Tabela1[[#This Row],[Largada]],Tabela1[[#This Row],[Chegada]]),"00:20:00:000")</f>
        <v>00:20:00:000</v>
      </c>
      <c r="G317" s="1" t="str" cm="1">
        <f t="array" ref="G317">IF(Tabela1[[#This Row],[N°S]]="","NONE",IF(Tabela1[[#This Row],[N°]]=D316,time_sum(G316,Tabela1[[#This Row],[TEMPO]]),Tabela1[[#This Row],[TEMPO]]))</f>
        <v>NONE</v>
      </c>
      <c r="I317" s="1" t="e">
        <f>VLOOKUP(C317,LARGADA!A:B,2,FALSE)</f>
        <v>#N/A</v>
      </c>
      <c r="J317" s="1" t="e">
        <f>VLOOKUP(C317,CHEGADA!A:B,2,FALSE)</f>
        <v>#N/A</v>
      </c>
    </row>
    <row r="318" spans="4:10">
      <c r="D318" s="2" t="str">
        <f>IFERROR(LEFT(Tabela1[[#This Row],[N°S]],LEN(Tabela1[[#This Row],[N°S]])-1),"")</f>
        <v/>
      </c>
      <c r="E318" s="1" t="str" cm="1">
        <f t="array" ref="E318">IFERROR(time_diff_cor(Tabela1[[#This Row],[Largada]],Tabela1[[#This Row],[Chegada]]),"00:20:00:000")</f>
        <v>00:20:00:000</v>
      </c>
      <c r="G318" s="1" t="str" cm="1">
        <f t="array" ref="G318">IF(Tabela1[[#This Row],[N°S]]="","NONE",IF(Tabela1[[#This Row],[N°]]=D317,time_sum(G317,Tabela1[[#This Row],[TEMPO]]),Tabela1[[#This Row],[TEMPO]]))</f>
        <v>NONE</v>
      </c>
      <c r="I318" s="1" t="e">
        <f>VLOOKUP(C318,LARGADA!A:B,2,FALSE)</f>
        <v>#N/A</v>
      </c>
      <c r="J318" s="1" t="e">
        <f>VLOOKUP(C318,CHEGADA!A:B,2,FALSE)</f>
        <v>#N/A</v>
      </c>
    </row>
    <row r="319" spans="4:10">
      <c r="D319" s="2" t="str">
        <f>IFERROR(LEFT(Tabela1[[#This Row],[N°S]],LEN(Tabela1[[#This Row],[N°S]])-1),"")</f>
        <v/>
      </c>
      <c r="E319" s="1" t="str" cm="1">
        <f t="array" ref="E319">IFERROR(time_diff_cor(Tabela1[[#This Row],[Largada]],Tabela1[[#This Row],[Chegada]]),"00:20:00:000")</f>
        <v>00:20:00:000</v>
      </c>
      <c r="G319" s="1" t="str" cm="1">
        <f t="array" ref="G319">IF(Tabela1[[#This Row],[N°S]]="","NONE",IF(Tabela1[[#This Row],[N°]]=D318,time_sum(G318,Tabela1[[#This Row],[TEMPO]]),Tabela1[[#This Row],[TEMPO]]))</f>
        <v>NONE</v>
      </c>
      <c r="I319" s="1" t="e">
        <f>VLOOKUP(C319,LARGADA!A:B,2,FALSE)</f>
        <v>#N/A</v>
      </c>
      <c r="J319" s="1" t="e">
        <f>VLOOKUP(C319,CHEGADA!A:B,2,FALSE)</f>
        <v>#N/A</v>
      </c>
    </row>
    <row r="320" spans="4:10">
      <c r="D320" s="2" t="str">
        <f>IFERROR(LEFT(Tabela1[[#This Row],[N°S]],LEN(Tabela1[[#This Row],[N°S]])-1),"")</f>
        <v/>
      </c>
      <c r="E320" s="1" t="str" cm="1">
        <f t="array" ref="E320">IFERROR(time_diff_cor(Tabela1[[#This Row],[Largada]],Tabela1[[#This Row],[Chegada]]),"00:20:00:000")</f>
        <v>00:20:00:000</v>
      </c>
      <c r="G320" s="1" t="str" cm="1">
        <f t="array" ref="G320">IF(Tabela1[[#This Row],[N°S]]="","NONE",IF(Tabela1[[#This Row],[N°]]=D319,time_sum(G319,Tabela1[[#This Row],[TEMPO]]),Tabela1[[#This Row],[TEMPO]]))</f>
        <v>NONE</v>
      </c>
      <c r="I320" s="1" t="e">
        <f>VLOOKUP(C320,LARGADA!A:B,2,FALSE)</f>
        <v>#N/A</v>
      </c>
      <c r="J320" s="1" t="e">
        <f>VLOOKUP(C320,CHEGADA!A:B,2,FALSE)</f>
        <v>#N/A</v>
      </c>
    </row>
    <row r="321" spans="4:10">
      <c r="D321" s="2" t="str">
        <f>IFERROR(LEFT(Tabela1[[#This Row],[N°S]],LEN(Tabela1[[#This Row],[N°S]])-1),"")</f>
        <v/>
      </c>
      <c r="E321" s="1" t="str" cm="1">
        <f t="array" ref="E321">IFERROR(time_diff_cor(Tabela1[[#This Row],[Largada]],Tabela1[[#This Row],[Chegada]]),"00:20:00:000")</f>
        <v>00:20:00:000</v>
      </c>
      <c r="G321" s="1" t="str" cm="1">
        <f t="array" ref="G321">IF(Tabela1[[#This Row],[N°S]]="","NONE",IF(Tabela1[[#This Row],[N°]]=D320,time_sum(G320,Tabela1[[#This Row],[TEMPO]]),Tabela1[[#This Row],[TEMPO]]))</f>
        <v>NONE</v>
      </c>
      <c r="I321" s="1" t="e">
        <f>VLOOKUP(C321,LARGADA!A:B,2,FALSE)</f>
        <v>#N/A</v>
      </c>
      <c r="J321" s="1" t="e">
        <f>VLOOKUP(C321,CHEGADA!A:B,2,FALSE)</f>
        <v>#N/A</v>
      </c>
    </row>
    <row r="322" spans="4:10">
      <c r="D322" s="2" t="str">
        <f>IFERROR(LEFT(Tabela1[[#This Row],[N°S]],LEN(Tabela1[[#This Row],[N°S]])-1),"")</f>
        <v/>
      </c>
      <c r="E322" s="1" t="str" cm="1">
        <f t="array" ref="E322">IFERROR(time_diff_cor(Tabela1[[#This Row],[Largada]],Tabela1[[#This Row],[Chegada]]),"00:20:00:000")</f>
        <v>00:20:00:000</v>
      </c>
      <c r="G322" s="1" t="str" cm="1">
        <f t="array" ref="G322">IF(Tabela1[[#This Row],[N°S]]="","NONE",IF(Tabela1[[#This Row],[N°]]=D321,time_sum(G321,Tabela1[[#This Row],[TEMPO]]),Tabela1[[#This Row],[TEMPO]]))</f>
        <v>NONE</v>
      </c>
      <c r="I322" s="1" t="e">
        <f>VLOOKUP(C322,LARGADA!A:B,2,FALSE)</f>
        <v>#N/A</v>
      </c>
      <c r="J322" s="1" t="e">
        <f>VLOOKUP(C322,CHEGADA!A:B,2,FALSE)</f>
        <v>#N/A</v>
      </c>
    </row>
    <row r="323" spans="4:10">
      <c r="D323" s="2" t="str">
        <f>IFERROR(LEFT(Tabela1[[#This Row],[N°S]],LEN(Tabela1[[#This Row],[N°S]])-1),"")</f>
        <v/>
      </c>
      <c r="E323" s="1" t="str" cm="1">
        <f t="array" ref="E323">IFERROR(time_diff_cor(Tabela1[[#This Row],[Largada]],Tabela1[[#This Row],[Chegada]]),"00:20:00:000")</f>
        <v>00:20:00:000</v>
      </c>
      <c r="G323" s="1" t="str" cm="1">
        <f t="array" ref="G323">IF(Tabela1[[#This Row],[N°S]]="","NONE",IF(Tabela1[[#This Row],[N°]]=D322,time_sum(G322,Tabela1[[#This Row],[TEMPO]]),Tabela1[[#This Row],[TEMPO]]))</f>
        <v>NONE</v>
      </c>
      <c r="I323" s="1" t="e">
        <f>VLOOKUP(C323,LARGADA!A:B,2,FALSE)</f>
        <v>#N/A</v>
      </c>
      <c r="J323" s="1" t="e">
        <f>VLOOKUP(C323,CHEGADA!A:B,2,FALSE)</f>
        <v>#N/A</v>
      </c>
    </row>
    <row r="324" spans="4:10">
      <c r="D324" s="2" t="str">
        <f>IFERROR(LEFT(Tabela1[[#This Row],[N°S]],LEN(Tabela1[[#This Row],[N°S]])-1),"")</f>
        <v/>
      </c>
      <c r="E324" s="1" t="str" cm="1">
        <f t="array" ref="E324">IFERROR(time_diff_cor(Tabela1[[#This Row],[Largada]],Tabela1[[#This Row],[Chegada]]),"00:20:00:000")</f>
        <v>00:20:00:000</v>
      </c>
      <c r="G324" s="1" t="str" cm="1">
        <f t="array" ref="G324">IF(Tabela1[[#This Row],[N°S]]="","NONE",IF(Tabela1[[#This Row],[N°]]=D323,time_sum(G323,Tabela1[[#This Row],[TEMPO]]),Tabela1[[#This Row],[TEMPO]]))</f>
        <v>NONE</v>
      </c>
      <c r="I324" s="1" t="e">
        <f>VLOOKUP(C324,LARGADA!A:B,2,FALSE)</f>
        <v>#N/A</v>
      </c>
      <c r="J324" s="1" t="e">
        <f>VLOOKUP(C324,CHEGADA!A:B,2,FALSE)</f>
        <v>#N/A</v>
      </c>
    </row>
    <row r="325" spans="4:10">
      <c r="D325" s="2" t="str">
        <f>IFERROR(LEFT(Tabela1[[#This Row],[N°S]],LEN(Tabela1[[#This Row],[N°S]])-1),"")</f>
        <v/>
      </c>
      <c r="E325" s="1" t="str" cm="1">
        <f t="array" ref="E325">IFERROR(time_diff_cor(Tabela1[[#This Row],[Largada]],Tabela1[[#This Row],[Chegada]]),"00:20:00:000")</f>
        <v>00:20:00:000</v>
      </c>
      <c r="G325" s="1" t="str" cm="1">
        <f t="array" ref="G325">IF(Tabela1[[#This Row],[N°S]]="","NONE",IF(Tabela1[[#This Row],[N°]]=D324,time_sum(G324,Tabela1[[#This Row],[TEMPO]]),Tabela1[[#This Row],[TEMPO]]))</f>
        <v>NONE</v>
      </c>
      <c r="I325" s="1" t="e">
        <f>VLOOKUP(C325,LARGADA!A:B,2,FALSE)</f>
        <v>#N/A</v>
      </c>
      <c r="J325" s="1" t="e">
        <f>VLOOKUP(C325,CHEGADA!A:B,2,FALSE)</f>
        <v>#N/A</v>
      </c>
    </row>
    <row r="326" spans="4:10">
      <c r="D326" s="2" t="str">
        <f>IFERROR(LEFT(Tabela1[[#This Row],[N°S]],LEN(Tabela1[[#This Row],[N°S]])-1),"")</f>
        <v/>
      </c>
      <c r="E326" s="1" t="str" cm="1">
        <f t="array" ref="E326">IFERROR(time_diff_cor(Tabela1[[#This Row],[Largada]],Tabela1[[#This Row],[Chegada]]),"00:20:00:000")</f>
        <v>00:20:00:000</v>
      </c>
      <c r="G326" s="1" t="str" cm="1">
        <f t="array" ref="G326">IF(Tabela1[[#This Row],[N°S]]="","NONE",IF(Tabela1[[#This Row],[N°]]=D325,time_sum(G325,Tabela1[[#This Row],[TEMPO]]),Tabela1[[#This Row],[TEMPO]]))</f>
        <v>NONE</v>
      </c>
      <c r="I326" s="1" t="e">
        <f>VLOOKUP(C326,LARGADA!A:B,2,FALSE)</f>
        <v>#N/A</v>
      </c>
      <c r="J326" s="1" t="e">
        <f>VLOOKUP(C326,CHEGADA!A:B,2,FALSE)</f>
        <v>#N/A</v>
      </c>
    </row>
    <row r="327" spans="4:10">
      <c r="D327" s="2" t="str">
        <f>IFERROR(LEFT(Tabela1[[#This Row],[N°S]],LEN(Tabela1[[#This Row],[N°S]])-1),"")</f>
        <v/>
      </c>
      <c r="E327" s="1" t="str" cm="1">
        <f t="array" ref="E327">IFERROR(time_diff_cor(Tabela1[[#This Row],[Largada]],Tabela1[[#This Row],[Chegada]]),"00:20:00:000")</f>
        <v>00:20:00:000</v>
      </c>
      <c r="G327" s="1" t="str" cm="1">
        <f t="array" ref="G327">IF(Tabela1[[#This Row],[N°S]]="","NONE",IF(Tabela1[[#This Row],[N°]]=D326,time_sum(G326,Tabela1[[#This Row],[TEMPO]]),Tabela1[[#This Row],[TEMPO]]))</f>
        <v>NONE</v>
      </c>
      <c r="I327" s="1" t="e">
        <f>VLOOKUP(C327,LARGADA!A:B,2,FALSE)</f>
        <v>#N/A</v>
      </c>
      <c r="J327" s="1" t="e">
        <f>VLOOKUP(C327,CHEGADA!A:B,2,FALSE)</f>
        <v>#N/A</v>
      </c>
    </row>
    <row r="328" spans="4:10">
      <c r="D328" s="2" t="str">
        <f>IFERROR(LEFT(Tabela1[[#This Row],[N°S]],LEN(Tabela1[[#This Row],[N°S]])-1),"")</f>
        <v/>
      </c>
      <c r="E328" s="1" t="str" cm="1">
        <f t="array" ref="E328">IFERROR(time_diff_cor(Tabela1[[#This Row],[Largada]],Tabela1[[#This Row],[Chegada]]),"00:20:00:000")</f>
        <v>00:20:00:000</v>
      </c>
      <c r="G328" s="1" t="str" cm="1">
        <f t="array" ref="G328">IF(Tabela1[[#This Row],[N°S]]="","NONE",IF(Tabela1[[#This Row],[N°]]=D327,time_sum(G327,Tabela1[[#This Row],[TEMPO]]),Tabela1[[#This Row],[TEMPO]]))</f>
        <v>NONE</v>
      </c>
      <c r="I328" s="1" t="e">
        <f>VLOOKUP(C328,LARGADA!A:B,2,FALSE)</f>
        <v>#N/A</v>
      </c>
      <c r="J328" s="1" t="e">
        <f>VLOOKUP(C328,CHEGADA!A:B,2,FALSE)</f>
        <v>#N/A</v>
      </c>
    </row>
    <row r="329" spans="4:10">
      <c r="D329" s="2" t="str">
        <f>IFERROR(LEFT(Tabela1[[#This Row],[N°S]],LEN(Tabela1[[#This Row],[N°S]])-1),"")</f>
        <v/>
      </c>
      <c r="E329" s="1" t="str" cm="1">
        <f t="array" ref="E329">IFERROR(time_diff_cor(Tabela1[[#This Row],[Largada]],Tabela1[[#This Row],[Chegada]]),"00:20:00:000")</f>
        <v>00:20:00:000</v>
      </c>
      <c r="G329" s="1" t="str" cm="1">
        <f t="array" ref="G329">IF(Tabela1[[#This Row],[N°S]]="","NONE",IF(Tabela1[[#This Row],[N°]]=D328,time_sum(G328,Tabela1[[#This Row],[TEMPO]]),Tabela1[[#This Row],[TEMPO]]))</f>
        <v>NONE</v>
      </c>
      <c r="I329" s="1" t="e">
        <f>VLOOKUP(C329,LARGADA!A:B,2,FALSE)</f>
        <v>#N/A</v>
      </c>
      <c r="J329" s="1" t="e">
        <f>VLOOKUP(C329,CHEGADA!A:B,2,FALSE)</f>
        <v>#N/A</v>
      </c>
    </row>
    <row r="330" spans="4:10">
      <c r="D330" s="2" t="str">
        <f>IFERROR(LEFT(Tabela1[[#This Row],[N°S]],LEN(Tabela1[[#This Row],[N°S]])-1),"")</f>
        <v/>
      </c>
      <c r="E330" s="1" t="str" cm="1">
        <f t="array" ref="E330">IFERROR(time_diff_cor(Tabela1[[#This Row],[Largada]],Tabela1[[#This Row],[Chegada]]),"00:20:00:000")</f>
        <v>00:20:00:000</v>
      </c>
      <c r="G330" s="1" t="str" cm="1">
        <f t="array" ref="G330">IF(Tabela1[[#This Row],[N°S]]="","NONE",IF(Tabela1[[#This Row],[N°]]=D329,time_sum(G329,Tabela1[[#This Row],[TEMPO]]),Tabela1[[#This Row],[TEMPO]]))</f>
        <v>NONE</v>
      </c>
      <c r="I330" s="1" t="e">
        <f>VLOOKUP(C330,LARGADA!A:B,2,FALSE)</f>
        <v>#N/A</v>
      </c>
      <c r="J330" s="1" t="e">
        <f>VLOOKUP(C330,CHEGADA!A:B,2,FALSE)</f>
        <v>#N/A</v>
      </c>
    </row>
    <row r="331" spans="4:10">
      <c r="D331" s="2" t="str">
        <f>IFERROR(LEFT(Tabela1[[#This Row],[N°S]],LEN(Tabela1[[#This Row],[N°S]])-1),"")</f>
        <v/>
      </c>
      <c r="E331" s="1" t="str" cm="1">
        <f t="array" ref="E331">IFERROR(time_diff_cor(Tabela1[[#This Row],[Largada]],Tabela1[[#This Row],[Chegada]]),"00:20:00:000")</f>
        <v>00:20:00:000</v>
      </c>
      <c r="G331" s="1" t="str" cm="1">
        <f t="array" ref="G331">IF(Tabela1[[#This Row],[N°S]]="","NONE",IF(Tabela1[[#This Row],[N°]]=D330,time_sum(G330,Tabela1[[#This Row],[TEMPO]]),Tabela1[[#This Row],[TEMPO]]))</f>
        <v>NONE</v>
      </c>
      <c r="I331" s="1" t="e">
        <f>VLOOKUP(C331,LARGADA!A:B,2,FALSE)</f>
        <v>#N/A</v>
      </c>
      <c r="J331" s="1" t="e">
        <f>VLOOKUP(C331,CHEGADA!A:B,2,FALSE)</f>
        <v>#N/A</v>
      </c>
    </row>
    <row r="332" spans="4:10">
      <c r="D332" s="2" t="str">
        <f>IFERROR(LEFT(Tabela1[[#This Row],[N°S]],LEN(Tabela1[[#This Row],[N°S]])-1),"")</f>
        <v/>
      </c>
      <c r="E332" s="1" t="str" cm="1">
        <f t="array" ref="E332">IFERROR(time_diff_cor(Tabela1[[#This Row],[Largada]],Tabela1[[#This Row],[Chegada]]),"00:20:00:000")</f>
        <v>00:20:00:000</v>
      </c>
      <c r="G332" s="1" t="str" cm="1">
        <f t="array" ref="G332">IF(Tabela1[[#This Row],[N°S]]="","NONE",IF(Tabela1[[#This Row],[N°]]=D331,time_sum(G331,Tabela1[[#This Row],[TEMPO]]),Tabela1[[#This Row],[TEMPO]]))</f>
        <v>NONE</v>
      </c>
      <c r="I332" s="1" t="e">
        <f>VLOOKUP(C332,LARGADA!A:B,2,FALSE)</f>
        <v>#N/A</v>
      </c>
      <c r="J332" s="1" t="e">
        <f>VLOOKUP(C332,CHEGADA!A:B,2,FALSE)</f>
        <v>#N/A</v>
      </c>
    </row>
    <row r="333" spans="4:10">
      <c r="D333" s="2" t="str">
        <f>IFERROR(LEFT(Tabela1[[#This Row],[N°S]],LEN(Tabela1[[#This Row],[N°S]])-1),"")</f>
        <v/>
      </c>
      <c r="E333" s="1" t="str" cm="1">
        <f t="array" ref="E333">IFERROR(time_diff_cor(Tabela1[[#This Row],[Largada]],Tabela1[[#This Row],[Chegada]]),"00:20:00:000")</f>
        <v>00:20:00:000</v>
      </c>
      <c r="G333" s="1" t="str" cm="1">
        <f t="array" ref="G333">IF(Tabela1[[#This Row],[N°S]]="","NONE",IF(Tabela1[[#This Row],[N°]]=D332,time_sum(G332,Tabela1[[#This Row],[TEMPO]]),Tabela1[[#This Row],[TEMPO]]))</f>
        <v>NONE</v>
      </c>
      <c r="I333" s="1" t="e">
        <f>VLOOKUP(C333,LARGADA!A:B,2,FALSE)</f>
        <v>#N/A</v>
      </c>
      <c r="J333" s="1" t="e">
        <f>VLOOKUP(C333,CHEGADA!A:B,2,FALSE)</f>
        <v>#N/A</v>
      </c>
    </row>
    <row r="334" spans="4:10">
      <c r="D334" s="2" t="str">
        <f>IFERROR(LEFT(Tabela1[[#This Row],[N°S]],LEN(Tabela1[[#This Row],[N°S]])-1),"")</f>
        <v/>
      </c>
      <c r="E334" s="1" t="str" cm="1">
        <f t="array" ref="E334">IFERROR(time_diff_cor(Tabela1[[#This Row],[Largada]],Tabela1[[#This Row],[Chegada]]),"00:20:00:000")</f>
        <v>00:20:00:000</v>
      </c>
      <c r="G334" s="1" t="str" cm="1">
        <f t="array" ref="G334">IF(Tabela1[[#This Row],[N°S]]="","NONE",IF(Tabela1[[#This Row],[N°]]=D333,time_sum(G333,Tabela1[[#This Row],[TEMPO]]),Tabela1[[#This Row],[TEMPO]]))</f>
        <v>NONE</v>
      </c>
      <c r="I334" s="1" t="e">
        <f>VLOOKUP(C334,LARGADA!A:B,2,FALSE)</f>
        <v>#N/A</v>
      </c>
      <c r="J334" s="1" t="e">
        <f>VLOOKUP(C334,CHEGADA!A:B,2,FALSE)</f>
        <v>#N/A</v>
      </c>
    </row>
    <row r="335" spans="4:10">
      <c r="D335" s="2" t="str">
        <f>IFERROR(LEFT(Tabela1[[#This Row],[N°S]],LEN(Tabela1[[#This Row],[N°S]])-1),"")</f>
        <v/>
      </c>
      <c r="E335" s="1" t="str" cm="1">
        <f t="array" ref="E335">IFERROR(time_diff_cor(Tabela1[[#This Row],[Largada]],Tabela1[[#This Row],[Chegada]]),"00:20:00:000")</f>
        <v>00:20:00:000</v>
      </c>
      <c r="G335" s="1" t="str" cm="1">
        <f t="array" ref="G335">IF(Tabela1[[#This Row],[N°S]]="","NONE",IF(Tabela1[[#This Row],[N°]]=D334,time_sum(G334,Tabela1[[#This Row],[TEMPO]]),Tabela1[[#This Row],[TEMPO]]))</f>
        <v>NONE</v>
      </c>
      <c r="I335" s="1" t="e">
        <f>VLOOKUP(C335,LARGADA!A:B,2,FALSE)</f>
        <v>#N/A</v>
      </c>
      <c r="J335" s="1" t="e">
        <f>VLOOKUP(C335,CHEGADA!A:B,2,FALSE)</f>
        <v>#N/A</v>
      </c>
    </row>
    <row r="336" spans="4:10">
      <c r="D336" s="2" t="str">
        <f>IFERROR(LEFT(Tabela1[[#This Row],[N°S]],LEN(Tabela1[[#This Row],[N°S]])-1),"")</f>
        <v/>
      </c>
      <c r="E336" s="1" t="str" cm="1">
        <f t="array" ref="E336">IFERROR(time_diff_cor(Tabela1[[#This Row],[Largada]],Tabela1[[#This Row],[Chegada]]),"00:20:00:000")</f>
        <v>00:20:00:000</v>
      </c>
      <c r="G336" s="1" t="str" cm="1">
        <f t="array" ref="G336">IF(Tabela1[[#This Row],[N°S]]="","NONE",IF(Tabela1[[#This Row],[N°]]=D335,time_sum(G335,Tabela1[[#This Row],[TEMPO]]),Tabela1[[#This Row],[TEMPO]]))</f>
        <v>NONE</v>
      </c>
      <c r="I336" s="1" t="e">
        <f>VLOOKUP(C336,LARGADA!A:B,2,FALSE)</f>
        <v>#N/A</v>
      </c>
      <c r="J336" s="1" t="e">
        <f>VLOOKUP(C336,CHEGADA!A:B,2,FALSE)</f>
        <v>#N/A</v>
      </c>
    </row>
    <row r="337" spans="4:10">
      <c r="D337" s="2" t="str">
        <f>IFERROR(LEFT(Tabela1[[#This Row],[N°S]],LEN(Tabela1[[#This Row],[N°S]])-1),"")</f>
        <v/>
      </c>
      <c r="E337" s="1" t="str" cm="1">
        <f t="array" ref="E337">IFERROR(time_diff_cor(Tabela1[[#This Row],[Largada]],Tabela1[[#This Row],[Chegada]]),"00:20:00:000")</f>
        <v>00:20:00:000</v>
      </c>
      <c r="G337" s="1" t="str" cm="1">
        <f t="array" ref="G337">IF(Tabela1[[#This Row],[N°S]]="","NONE",IF(Tabela1[[#This Row],[N°]]=D336,time_sum(G336,Tabela1[[#This Row],[TEMPO]]),Tabela1[[#This Row],[TEMPO]]))</f>
        <v>NONE</v>
      </c>
      <c r="I337" s="1" t="e">
        <f>VLOOKUP(C337,LARGADA!A:B,2,FALSE)</f>
        <v>#N/A</v>
      </c>
      <c r="J337" s="1" t="e">
        <f>VLOOKUP(C337,CHEGADA!A:B,2,FALSE)</f>
        <v>#N/A</v>
      </c>
    </row>
    <row r="338" spans="4:10">
      <c r="D338" s="2" t="str">
        <f>IFERROR(LEFT(Tabela1[[#This Row],[N°S]],LEN(Tabela1[[#This Row],[N°S]])-1),"")</f>
        <v/>
      </c>
      <c r="E338" s="1" t="str" cm="1">
        <f t="array" ref="E338">IFERROR(time_diff_cor(Tabela1[[#This Row],[Largada]],Tabela1[[#This Row],[Chegada]]),"00:20:00:000")</f>
        <v>00:20:00:000</v>
      </c>
      <c r="G338" s="1" t="str" cm="1">
        <f t="array" ref="G338">IF(Tabela1[[#This Row],[N°S]]="","NONE",IF(Tabela1[[#This Row],[N°]]=D337,time_sum(G337,Tabela1[[#This Row],[TEMPO]]),Tabela1[[#This Row],[TEMPO]]))</f>
        <v>NONE</v>
      </c>
      <c r="I338" s="1" t="e">
        <f>VLOOKUP(C338,LARGADA!A:B,2,FALSE)</f>
        <v>#N/A</v>
      </c>
      <c r="J338" s="1" t="e">
        <f>VLOOKUP(C338,CHEGADA!A:B,2,FALSE)</f>
        <v>#N/A</v>
      </c>
    </row>
    <row r="339" spans="4:10">
      <c r="D339" s="2" t="str">
        <f>IFERROR(LEFT(Tabela1[[#This Row],[N°S]],LEN(Tabela1[[#This Row],[N°S]])-1),"")</f>
        <v/>
      </c>
      <c r="E339" s="1" t="str" cm="1">
        <f t="array" ref="E339">IFERROR(time_diff_cor(Tabela1[[#This Row],[Largada]],Tabela1[[#This Row],[Chegada]]),"00:20:00:000")</f>
        <v>00:20:00:000</v>
      </c>
      <c r="G339" s="1" t="str" cm="1">
        <f t="array" ref="G339">IF(Tabela1[[#This Row],[N°S]]="","NONE",IF(Tabela1[[#This Row],[N°]]=D338,time_sum(G338,Tabela1[[#This Row],[TEMPO]]),Tabela1[[#This Row],[TEMPO]]))</f>
        <v>NONE</v>
      </c>
      <c r="I339" s="1" t="e">
        <f>VLOOKUP(C339,LARGADA!A:B,2,FALSE)</f>
        <v>#N/A</v>
      </c>
      <c r="J339" s="1" t="e">
        <f>VLOOKUP(C339,CHEGADA!A:B,2,FALSE)</f>
        <v>#N/A</v>
      </c>
    </row>
    <row r="340" spans="4:10">
      <c r="D340" s="2" t="str">
        <f>IFERROR(LEFT(Tabela1[[#This Row],[N°S]],LEN(Tabela1[[#This Row],[N°S]])-1),"")</f>
        <v/>
      </c>
      <c r="E340" s="1" t="str" cm="1">
        <f t="array" ref="E340">IFERROR(time_diff_cor(Tabela1[[#This Row],[Largada]],Tabela1[[#This Row],[Chegada]]),"00:20:00:000")</f>
        <v>00:20:00:000</v>
      </c>
      <c r="G340" s="1" t="str" cm="1">
        <f t="array" ref="G340">IF(Tabela1[[#This Row],[N°S]]="","NONE",IF(Tabela1[[#This Row],[N°]]=D339,time_sum(G339,Tabela1[[#This Row],[TEMPO]]),Tabela1[[#This Row],[TEMPO]]))</f>
        <v>NONE</v>
      </c>
      <c r="I340" s="1" t="e">
        <f>VLOOKUP(C340,LARGADA!A:B,2,FALSE)</f>
        <v>#N/A</v>
      </c>
      <c r="J340" s="1" t="e">
        <f>VLOOKUP(C340,CHEGADA!A:B,2,FALSE)</f>
        <v>#N/A</v>
      </c>
    </row>
    <row r="341" spans="4:10">
      <c r="D341" s="2" t="str">
        <f>IFERROR(LEFT(Tabela1[[#This Row],[N°S]],LEN(Tabela1[[#This Row],[N°S]])-1),"")</f>
        <v/>
      </c>
      <c r="E341" s="1" t="str" cm="1">
        <f t="array" ref="E341">IFERROR(time_diff_cor(Tabela1[[#This Row],[Largada]],Tabela1[[#This Row],[Chegada]]),"00:20:00:000")</f>
        <v>00:20:00:000</v>
      </c>
      <c r="G341" s="1" t="str" cm="1">
        <f t="array" ref="G341">IF(Tabela1[[#This Row],[N°S]]="","NONE",IF(Tabela1[[#This Row],[N°]]=D340,time_sum(G340,Tabela1[[#This Row],[TEMPO]]),Tabela1[[#This Row],[TEMPO]]))</f>
        <v>NONE</v>
      </c>
      <c r="I341" s="1" t="e">
        <f>VLOOKUP(C341,LARGADA!A:B,2,FALSE)</f>
        <v>#N/A</v>
      </c>
      <c r="J341" s="1" t="e">
        <f>VLOOKUP(C341,CHEGADA!A:B,2,FALSE)</f>
        <v>#N/A</v>
      </c>
    </row>
    <row r="342" spans="4:10">
      <c r="D342" s="2" t="str">
        <f>IFERROR(LEFT(Tabela1[[#This Row],[N°S]],LEN(Tabela1[[#This Row],[N°S]])-1),"")</f>
        <v/>
      </c>
      <c r="E342" s="1" t="str" cm="1">
        <f t="array" ref="E342">IFERROR(time_diff_cor(Tabela1[[#This Row],[Largada]],Tabela1[[#This Row],[Chegada]]),"00:20:00:000")</f>
        <v>00:20:00:000</v>
      </c>
      <c r="G342" s="1" t="str" cm="1">
        <f t="array" ref="G342">IF(Tabela1[[#This Row],[N°S]]="","NONE",IF(Tabela1[[#This Row],[N°]]=D341,time_sum(G341,Tabela1[[#This Row],[TEMPO]]),Tabela1[[#This Row],[TEMPO]]))</f>
        <v>NONE</v>
      </c>
      <c r="I342" s="1" t="e">
        <f>VLOOKUP(C342,LARGADA!A:B,2,FALSE)</f>
        <v>#N/A</v>
      </c>
      <c r="J342" s="1" t="e">
        <f>VLOOKUP(C342,CHEGADA!A:B,2,FALSE)</f>
        <v>#N/A</v>
      </c>
    </row>
    <row r="343" spans="4:10">
      <c r="D343" s="2" t="str">
        <f>IFERROR(LEFT(Tabela1[[#This Row],[N°S]],LEN(Tabela1[[#This Row],[N°S]])-1),"")</f>
        <v/>
      </c>
      <c r="E343" s="1" t="str" cm="1">
        <f t="array" ref="E343">IFERROR(time_diff_cor(Tabela1[[#This Row],[Largada]],Tabela1[[#This Row],[Chegada]]),"00:20:00:000")</f>
        <v>00:20:00:000</v>
      </c>
      <c r="G343" s="1" t="str" cm="1">
        <f t="array" ref="G343">IF(Tabela1[[#This Row],[N°S]]="","NONE",IF(Tabela1[[#This Row],[N°]]=D342,time_sum(G342,Tabela1[[#This Row],[TEMPO]]),Tabela1[[#This Row],[TEMPO]]))</f>
        <v>NONE</v>
      </c>
      <c r="I343" s="1" t="e">
        <f>VLOOKUP(C343,LARGADA!A:B,2,FALSE)</f>
        <v>#N/A</v>
      </c>
      <c r="J343" s="1" t="e">
        <f>VLOOKUP(C343,CHEGADA!A:B,2,FALSE)</f>
        <v>#N/A</v>
      </c>
    </row>
    <row r="344" spans="4:10">
      <c r="D344" s="2" t="str">
        <f>IFERROR(LEFT(Tabela1[[#This Row],[N°S]],LEN(Tabela1[[#This Row],[N°S]])-1),"")</f>
        <v/>
      </c>
      <c r="E344" s="1" t="str" cm="1">
        <f t="array" ref="E344">IFERROR(time_diff_cor(Tabela1[[#This Row],[Largada]],Tabela1[[#This Row],[Chegada]]),"00:20:00:000")</f>
        <v>00:20:00:000</v>
      </c>
      <c r="G344" s="1" t="str" cm="1">
        <f t="array" ref="G344">IF(Tabela1[[#This Row],[N°S]]="","NONE",IF(Tabela1[[#This Row],[N°]]=D343,time_sum(G343,Tabela1[[#This Row],[TEMPO]]),Tabela1[[#This Row],[TEMPO]]))</f>
        <v>NONE</v>
      </c>
      <c r="I344" s="1" t="e">
        <f>VLOOKUP(C344,LARGADA!A:B,2,FALSE)</f>
        <v>#N/A</v>
      </c>
      <c r="J344" s="1" t="e">
        <f>VLOOKUP(C344,CHEGADA!A:B,2,FALSE)</f>
        <v>#N/A</v>
      </c>
    </row>
    <row r="345" spans="4:10">
      <c r="D345" s="2" t="str">
        <f>IFERROR(LEFT(Tabela1[[#This Row],[N°S]],LEN(Tabela1[[#This Row],[N°S]])-1),"")</f>
        <v/>
      </c>
      <c r="E345" s="1" t="str" cm="1">
        <f t="array" ref="E345">IFERROR(time_diff_cor(Tabela1[[#This Row],[Largada]],Tabela1[[#This Row],[Chegada]]),"00:20:00:000")</f>
        <v>00:20:00:000</v>
      </c>
      <c r="G345" s="1" t="str" cm="1">
        <f t="array" ref="G345">IF(Tabela1[[#This Row],[N°S]]="","NONE",IF(Tabela1[[#This Row],[N°]]=D344,time_sum(G344,Tabela1[[#This Row],[TEMPO]]),Tabela1[[#This Row],[TEMPO]]))</f>
        <v>NONE</v>
      </c>
      <c r="I345" s="1" t="e">
        <f>VLOOKUP(C345,LARGADA!A:B,2,FALSE)</f>
        <v>#N/A</v>
      </c>
      <c r="J345" s="1" t="e">
        <f>VLOOKUP(C345,CHEGADA!A:B,2,FALSE)</f>
        <v>#N/A</v>
      </c>
    </row>
    <row r="346" spans="4:10">
      <c r="D346" s="2" t="str">
        <f>IFERROR(LEFT(Tabela1[[#This Row],[N°S]],LEN(Tabela1[[#This Row],[N°S]])-1),"")</f>
        <v/>
      </c>
      <c r="E346" s="1" t="str" cm="1">
        <f t="array" ref="E346">IFERROR(time_diff_cor(Tabela1[[#This Row],[Largada]],Tabela1[[#This Row],[Chegada]]),"00:20:00:000")</f>
        <v>00:20:00:000</v>
      </c>
      <c r="G346" s="1" t="str" cm="1">
        <f t="array" ref="G346">IF(Tabela1[[#This Row],[N°S]]="","NONE",IF(Tabela1[[#This Row],[N°]]=D345,time_sum(G345,Tabela1[[#This Row],[TEMPO]]),Tabela1[[#This Row],[TEMPO]]))</f>
        <v>NONE</v>
      </c>
      <c r="I346" s="1" t="e">
        <f>VLOOKUP(C346,LARGADA!A:B,2,FALSE)</f>
        <v>#N/A</v>
      </c>
      <c r="J346" s="1" t="e">
        <f>VLOOKUP(C346,CHEGADA!A:B,2,FALSE)</f>
        <v>#N/A</v>
      </c>
    </row>
    <row r="347" spans="4:10">
      <c r="D347" s="2" t="str">
        <f>IFERROR(LEFT(Tabela1[[#This Row],[N°S]],LEN(Tabela1[[#This Row],[N°S]])-1),"")</f>
        <v/>
      </c>
      <c r="E347" s="1" t="str" cm="1">
        <f t="array" ref="E347">IFERROR(time_diff_cor(Tabela1[[#This Row],[Largada]],Tabela1[[#This Row],[Chegada]]),"00:20:00:000")</f>
        <v>00:20:00:000</v>
      </c>
      <c r="G347" s="1" t="str" cm="1">
        <f t="array" ref="G347">IF(Tabela1[[#This Row],[N°S]]="","NONE",IF(Tabela1[[#This Row],[N°]]=D346,time_sum(G346,Tabela1[[#This Row],[TEMPO]]),Tabela1[[#This Row],[TEMPO]]))</f>
        <v>NONE</v>
      </c>
      <c r="I347" s="1" t="e">
        <f>VLOOKUP(C347,LARGADA!A:B,2,FALSE)</f>
        <v>#N/A</v>
      </c>
      <c r="J347" s="1" t="e">
        <f>VLOOKUP(C347,CHEGADA!A:B,2,FALSE)</f>
        <v>#N/A</v>
      </c>
    </row>
    <row r="348" spans="4:10">
      <c r="D348" s="2" t="str">
        <f>IFERROR(LEFT(Tabela1[[#This Row],[N°S]],LEN(Tabela1[[#This Row],[N°S]])-1),"")</f>
        <v/>
      </c>
      <c r="E348" s="1" t="str" cm="1">
        <f t="array" ref="E348">IFERROR(time_diff_cor(Tabela1[[#This Row],[Largada]],Tabela1[[#This Row],[Chegada]]),"00:20:00:000")</f>
        <v>00:20:00:000</v>
      </c>
      <c r="G348" s="1" t="str" cm="1">
        <f t="array" ref="G348">IF(Tabela1[[#This Row],[N°S]]="","NONE",IF(Tabela1[[#This Row],[N°]]=D347,time_sum(G347,Tabela1[[#This Row],[TEMPO]]),Tabela1[[#This Row],[TEMPO]]))</f>
        <v>NONE</v>
      </c>
      <c r="I348" s="1" t="e">
        <f>VLOOKUP(C348,LARGADA!A:B,2,FALSE)</f>
        <v>#N/A</v>
      </c>
      <c r="J348" s="1" t="e">
        <f>VLOOKUP(C348,CHEGADA!A:B,2,FALSE)</f>
        <v>#N/A</v>
      </c>
    </row>
    <row r="349" spans="4:10">
      <c r="D349" s="2" t="str">
        <f>IFERROR(LEFT(Tabela1[[#This Row],[N°S]],LEN(Tabela1[[#This Row],[N°S]])-1),"")</f>
        <v/>
      </c>
      <c r="E349" s="1" t="str" cm="1">
        <f t="array" ref="E349">IFERROR(time_diff_cor(Tabela1[[#This Row],[Largada]],Tabela1[[#This Row],[Chegada]]),"00:20:00:000")</f>
        <v>00:20:00:000</v>
      </c>
      <c r="G349" s="1" t="str" cm="1">
        <f t="array" ref="G349">IF(Tabela1[[#This Row],[N°S]]="","NONE",IF(Tabela1[[#This Row],[N°]]=D348,time_sum(G348,Tabela1[[#This Row],[TEMPO]]),Tabela1[[#This Row],[TEMPO]]))</f>
        <v>NONE</v>
      </c>
      <c r="I349" s="1" t="e">
        <f>VLOOKUP(C349,LARGADA!A:B,2,FALSE)</f>
        <v>#N/A</v>
      </c>
      <c r="J349" s="1" t="e">
        <f>VLOOKUP(C349,CHEGADA!A:B,2,FALSE)</f>
        <v>#N/A</v>
      </c>
    </row>
    <row r="350" spans="4:10">
      <c r="D350" s="2" t="str">
        <f>IFERROR(LEFT(Tabela1[[#This Row],[N°S]],LEN(Tabela1[[#This Row],[N°S]])-1),"")</f>
        <v/>
      </c>
      <c r="E350" s="1" t="str" cm="1">
        <f t="array" ref="E350">IFERROR(time_diff_cor(Tabela1[[#This Row],[Largada]],Tabela1[[#This Row],[Chegada]]),"00:20:00:000")</f>
        <v>00:20:00:000</v>
      </c>
      <c r="G350" s="1" t="str" cm="1">
        <f t="array" ref="G350">IF(Tabela1[[#This Row],[N°S]]="","NONE",IF(Tabela1[[#This Row],[N°]]=D349,time_sum(G349,Tabela1[[#This Row],[TEMPO]]),Tabela1[[#This Row],[TEMPO]]))</f>
        <v>NONE</v>
      </c>
      <c r="I350" s="1" t="e">
        <f>VLOOKUP(C350,LARGADA!A:B,2,FALSE)</f>
        <v>#N/A</v>
      </c>
      <c r="J350" s="1" t="e">
        <f>VLOOKUP(C350,CHEGADA!A:B,2,FALSE)</f>
        <v>#N/A</v>
      </c>
    </row>
    <row r="351" spans="4:10">
      <c r="D351" s="2" t="str">
        <f>IFERROR(LEFT(Tabela1[[#This Row],[N°S]],LEN(Tabela1[[#This Row],[N°S]])-1),"")</f>
        <v/>
      </c>
      <c r="E351" s="1" t="str" cm="1">
        <f t="array" ref="E351">IFERROR(time_diff_cor(Tabela1[[#This Row],[Largada]],Tabela1[[#This Row],[Chegada]]),"00:20:00:000")</f>
        <v>00:20:00:000</v>
      </c>
      <c r="G351" s="1" t="str" cm="1">
        <f t="array" ref="G351">IF(Tabela1[[#This Row],[N°S]]="","NONE",IF(Tabela1[[#This Row],[N°]]=D350,time_sum(G350,Tabela1[[#This Row],[TEMPO]]),Tabela1[[#This Row],[TEMPO]]))</f>
        <v>NONE</v>
      </c>
      <c r="I351" s="1" t="e">
        <f>VLOOKUP(C351,LARGADA!A:B,2,FALSE)</f>
        <v>#N/A</v>
      </c>
      <c r="J351" s="1" t="e">
        <f>VLOOKUP(C351,CHEGADA!A:B,2,FALSE)</f>
        <v>#N/A</v>
      </c>
    </row>
    <row r="352" spans="4:10">
      <c r="D352" s="2" t="str">
        <f>IFERROR(LEFT(Tabela1[[#This Row],[N°S]],LEN(Tabela1[[#This Row],[N°S]])-1),"")</f>
        <v/>
      </c>
      <c r="E352" s="1" t="str" cm="1">
        <f t="array" ref="E352">IFERROR(time_diff_cor(Tabela1[[#This Row],[Largada]],Tabela1[[#This Row],[Chegada]]),"00:20:00:000")</f>
        <v>00:20:00:000</v>
      </c>
      <c r="G352" s="1" t="str" cm="1">
        <f t="array" ref="G352">IF(Tabela1[[#This Row],[N°S]]="","NONE",IF(Tabela1[[#This Row],[N°]]=D351,time_sum(G351,Tabela1[[#This Row],[TEMPO]]),Tabela1[[#This Row],[TEMPO]]))</f>
        <v>NONE</v>
      </c>
      <c r="I352" s="1" t="e">
        <f>VLOOKUP(C352,LARGADA!A:B,2,FALSE)</f>
        <v>#N/A</v>
      </c>
      <c r="J352" s="1" t="e">
        <f>VLOOKUP(C352,CHEGADA!A:B,2,FALSE)</f>
        <v>#N/A</v>
      </c>
    </row>
    <row r="353" spans="4:10">
      <c r="D353" s="2" t="str">
        <f>IFERROR(LEFT(Tabela1[[#This Row],[N°S]],LEN(Tabela1[[#This Row],[N°S]])-1),"")</f>
        <v/>
      </c>
      <c r="E353" s="1" t="str" cm="1">
        <f t="array" ref="E353">IFERROR(time_diff_cor(Tabela1[[#This Row],[Largada]],Tabela1[[#This Row],[Chegada]]),"00:20:00:000")</f>
        <v>00:20:00:000</v>
      </c>
      <c r="G353" s="1" t="str" cm="1">
        <f t="array" ref="G353">IF(Tabela1[[#This Row],[N°S]]="","NONE",IF(Tabela1[[#This Row],[N°]]=D352,time_sum(G352,Tabela1[[#This Row],[TEMPO]]),Tabela1[[#This Row],[TEMPO]]))</f>
        <v>NONE</v>
      </c>
      <c r="I353" s="1" t="e">
        <f>VLOOKUP(C353,LARGADA!A:B,2,FALSE)</f>
        <v>#N/A</v>
      </c>
      <c r="J353" s="1" t="e">
        <f>VLOOKUP(C353,CHEGADA!A:B,2,FALSE)</f>
        <v>#N/A</v>
      </c>
    </row>
    <row r="354" spans="4:10">
      <c r="D354" s="2" t="str">
        <f>IFERROR(LEFT(Tabela1[[#This Row],[N°S]],LEN(Tabela1[[#This Row],[N°S]])-1),"")</f>
        <v/>
      </c>
      <c r="E354" s="1" t="str" cm="1">
        <f t="array" ref="E354">IFERROR(time_diff_cor(Tabela1[[#This Row],[Largada]],Tabela1[[#This Row],[Chegada]]),"00:20:00:000")</f>
        <v>00:20:00:000</v>
      </c>
      <c r="G354" s="1" t="str" cm="1">
        <f t="array" ref="G354">IF(Tabela1[[#This Row],[N°S]]="","NONE",IF(Tabela1[[#This Row],[N°]]=D353,time_sum(G353,Tabela1[[#This Row],[TEMPO]]),Tabela1[[#This Row],[TEMPO]]))</f>
        <v>NONE</v>
      </c>
      <c r="I354" s="1" t="e">
        <f>VLOOKUP(C354,LARGADA!A:B,2,FALSE)</f>
        <v>#N/A</v>
      </c>
      <c r="J354" s="1" t="e">
        <f>VLOOKUP(C354,CHEGADA!A:B,2,FALSE)</f>
        <v>#N/A</v>
      </c>
    </row>
    <row r="355" spans="4:10">
      <c r="D355" s="2" t="str">
        <f>IFERROR(LEFT(Tabela1[[#This Row],[N°S]],LEN(Tabela1[[#This Row],[N°S]])-1),"")</f>
        <v/>
      </c>
      <c r="E355" s="1" t="str" cm="1">
        <f t="array" ref="E355">IFERROR(time_diff_cor(Tabela1[[#This Row],[Largada]],Tabela1[[#This Row],[Chegada]]),"00:20:00:000")</f>
        <v>00:20:00:000</v>
      </c>
      <c r="G355" s="1" t="str" cm="1">
        <f t="array" ref="G355">IF(Tabela1[[#This Row],[N°S]]="","NONE",IF(Tabela1[[#This Row],[N°]]=D354,time_sum(G354,Tabela1[[#This Row],[TEMPO]]),Tabela1[[#This Row],[TEMPO]]))</f>
        <v>NONE</v>
      </c>
      <c r="I355" s="1" t="e">
        <f>VLOOKUP(C355,LARGADA!A:B,2,FALSE)</f>
        <v>#N/A</v>
      </c>
      <c r="J355" s="1" t="e">
        <f>VLOOKUP(C355,CHEGADA!A:B,2,FALSE)</f>
        <v>#N/A</v>
      </c>
    </row>
    <row r="356" spans="4:10">
      <c r="D356" s="2" t="str">
        <f>IFERROR(LEFT(Tabela1[[#This Row],[N°S]],LEN(Tabela1[[#This Row],[N°S]])-1),"")</f>
        <v/>
      </c>
      <c r="E356" s="1" t="str" cm="1">
        <f t="array" ref="E356">IFERROR(time_diff_cor(Tabela1[[#This Row],[Largada]],Tabela1[[#This Row],[Chegada]]),"00:20:00:000")</f>
        <v>00:20:00:000</v>
      </c>
      <c r="G356" s="1" t="str" cm="1">
        <f t="array" ref="G356">IF(Tabela1[[#This Row],[N°S]]="","NONE",IF(Tabela1[[#This Row],[N°]]=D355,time_sum(G355,Tabela1[[#This Row],[TEMPO]]),Tabela1[[#This Row],[TEMPO]]))</f>
        <v>NONE</v>
      </c>
      <c r="I356" s="1" t="e">
        <f>VLOOKUP(C356,LARGADA!A:B,2,FALSE)</f>
        <v>#N/A</v>
      </c>
      <c r="J356" s="1" t="e">
        <f>VLOOKUP(C356,CHEGADA!A:B,2,FALSE)</f>
        <v>#N/A</v>
      </c>
    </row>
    <row r="357" spans="4:10">
      <c r="D357" s="2" t="str">
        <f>IFERROR(LEFT(Tabela1[[#This Row],[N°S]],LEN(Tabela1[[#This Row],[N°S]])-1),"")</f>
        <v/>
      </c>
      <c r="E357" s="1" t="str" cm="1">
        <f t="array" ref="E357">IFERROR(time_diff_cor(Tabela1[[#This Row],[Largada]],Tabela1[[#This Row],[Chegada]]),"00:20:00:000")</f>
        <v>00:20:00:000</v>
      </c>
      <c r="G357" s="1" t="str" cm="1">
        <f t="array" ref="G357">IF(Tabela1[[#This Row],[N°S]]="","NONE",IF(Tabela1[[#This Row],[N°]]=D356,time_sum(G356,Tabela1[[#This Row],[TEMPO]]),Tabela1[[#This Row],[TEMPO]]))</f>
        <v>NONE</v>
      </c>
      <c r="I357" s="1" t="e">
        <f>VLOOKUP(C357,LARGADA!A:B,2,FALSE)</f>
        <v>#N/A</v>
      </c>
      <c r="J357" s="1" t="e">
        <f>VLOOKUP(C357,CHEGADA!A:B,2,FALSE)</f>
        <v>#N/A</v>
      </c>
    </row>
    <row r="358" spans="4:10">
      <c r="D358" s="2" t="str">
        <f>IFERROR(LEFT(Tabela1[[#This Row],[N°S]],LEN(Tabela1[[#This Row],[N°S]])-1),"")</f>
        <v/>
      </c>
      <c r="E358" s="1" t="str" cm="1">
        <f t="array" ref="E358">IFERROR(time_diff_cor(Tabela1[[#This Row],[Largada]],Tabela1[[#This Row],[Chegada]]),"00:20:00:000")</f>
        <v>00:20:00:000</v>
      </c>
      <c r="G358" s="1" t="str" cm="1">
        <f t="array" ref="G358">IF(Tabela1[[#This Row],[N°S]]="","NONE",IF(Tabela1[[#This Row],[N°]]=D357,time_sum(G357,Tabela1[[#This Row],[TEMPO]]),Tabela1[[#This Row],[TEMPO]]))</f>
        <v>NONE</v>
      </c>
      <c r="I358" s="1" t="e">
        <f>VLOOKUP(C358,LARGADA!A:B,2,FALSE)</f>
        <v>#N/A</v>
      </c>
      <c r="J358" s="1" t="e">
        <f>VLOOKUP(C358,CHEGADA!A:B,2,FALSE)</f>
        <v>#N/A</v>
      </c>
    </row>
    <row r="359" spans="4:10">
      <c r="D359" s="2" t="str">
        <f>IFERROR(LEFT(Tabela1[[#This Row],[N°S]],LEN(Tabela1[[#This Row],[N°S]])-1),"")</f>
        <v/>
      </c>
      <c r="E359" s="1" t="str" cm="1">
        <f t="array" ref="E359">IFERROR(time_diff_cor(Tabela1[[#This Row],[Largada]],Tabela1[[#This Row],[Chegada]]),"00:20:00:000")</f>
        <v>00:20:00:000</v>
      </c>
      <c r="G359" s="1" t="str" cm="1">
        <f t="array" ref="G359">IF(Tabela1[[#This Row],[N°S]]="","NONE",IF(Tabela1[[#This Row],[N°]]=D358,time_sum(G358,Tabela1[[#This Row],[TEMPO]]),Tabela1[[#This Row],[TEMPO]]))</f>
        <v>NONE</v>
      </c>
      <c r="I359" s="1" t="e">
        <f>VLOOKUP(C359,LARGADA!A:B,2,FALSE)</f>
        <v>#N/A</v>
      </c>
      <c r="J359" s="1" t="e">
        <f>VLOOKUP(C359,CHEGADA!A:B,2,FALSE)</f>
        <v>#N/A</v>
      </c>
    </row>
    <row r="360" spans="4:10">
      <c r="D360" s="2" t="str">
        <f>IFERROR(LEFT(Tabela1[[#This Row],[N°S]],LEN(Tabela1[[#This Row],[N°S]])-1),"")</f>
        <v/>
      </c>
      <c r="E360" s="1" t="str" cm="1">
        <f t="array" ref="E360">IFERROR(time_diff_cor(Tabela1[[#This Row],[Largada]],Tabela1[[#This Row],[Chegada]]),"00:20:00:000")</f>
        <v>00:20:00:000</v>
      </c>
      <c r="G360" s="1" t="str" cm="1">
        <f t="array" ref="G360">IF(Tabela1[[#This Row],[N°S]]="","NONE",IF(Tabela1[[#This Row],[N°]]=D359,time_sum(G359,Tabela1[[#This Row],[TEMPO]]),Tabela1[[#This Row],[TEMPO]]))</f>
        <v>NONE</v>
      </c>
      <c r="I360" s="1" t="e">
        <f>VLOOKUP(C360,LARGADA!A:B,2,FALSE)</f>
        <v>#N/A</v>
      </c>
      <c r="J360" s="1" t="e">
        <f>VLOOKUP(C360,CHEGADA!A:B,2,FALSE)</f>
        <v>#N/A</v>
      </c>
    </row>
    <row r="361" spans="4:10">
      <c r="D361" s="2" t="str">
        <f>IFERROR(LEFT(Tabela1[[#This Row],[N°S]],LEN(Tabela1[[#This Row],[N°S]])-1),"")</f>
        <v/>
      </c>
      <c r="E361" s="1" t="str" cm="1">
        <f t="array" ref="E361">IFERROR(time_diff_cor(Tabela1[[#This Row],[Largada]],Tabela1[[#This Row],[Chegada]]),"00:20:00:000")</f>
        <v>00:20:00:000</v>
      </c>
      <c r="G361" s="1" t="str" cm="1">
        <f t="array" ref="G361">IF(Tabela1[[#This Row],[N°S]]="","NONE",IF(Tabela1[[#This Row],[N°]]=D360,time_sum(G360,Tabela1[[#This Row],[TEMPO]]),Tabela1[[#This Row],[TEMPO]]))</f>
        <v>NONE</v>
      </c>
      <c r="I361" s="1" t="e">
        <f>VLOOKUP(C361,LARGADA!A:B,2,FALSE)</f>
        <v>#N/A</v>
      </c>
      <c r="J361" s="1" t="e">
        <f>VLOOKUP(C361,CHEGADA!A:B,2,FALSE)</f>
        <v>#N/A</v>
      </c>
    </row>
    <row r="362" spans="4:10">
      <c r="D362" s="2" t="str">
        <f>IFERROR(LEFT(Tabela1[[#This Row],[N°S]],LEN(Tabela1[[#This Row],[N°S]])-1),"")</f>
        <v/>
      </c>
      <c r="E362" s="1" t="str" cm="1">
        <f t="array" ref="E362">IFERROR(time_diff_cor(Tabela1[[#This Row],[Largada]],Tabela1[[#This Row],[Chegada]]),"00:20:00:000")</f>
        <v>00:20:00:000</v>
      </c>
      <c r="G362" s="1" t="str" cm="1">
        <f t="array" ref="G362">IF(Tabela1[[#This Row],[N°S]]="","NONE",IF(Tabela1[[#This Row],[N°]]=D361,time_sum(G361,Tabela1[[#This Row],[TEMPO]]),Tabela1[[#This Row],[TEMPO]]))</f>
        <v>NONE</v>
      </c>
      <c r="I362" s="1" t="e">
        <f>VLOOKUP(C362,LARGADA!A:B,2,FALSE)</f>
        <v>#N/A</v>
      </c>
      <c r="J362" s="1" t="e">
        <f>VLOOKUP(C362,CHEGADA!A:B,2,FALSE)</f>
        <v>#N/A</v>
      </c>
    </row>
    <row r="363" spans="4:10">
      <c r="D363" s="2" t="str">
        <f>IFERROR(LEFT(Tabela1[[#This Row],[N°S]],LEN(Tabela1[[#This Row],[N°S]])-1),"")</f>
        <v/>
      </c>
      <c r="E363" s="1" t="str" cm="1">
        <f t="array" ref="E363">IFERROR(time_diff_cor(Tabela1[[#This Row],[Largada]],Tabela1[[#This Row],[Chegada]]),"00:20:00:000")</f>
        <v>00:20:00:000</v>
      </c>
      <c r="G363" s="1" t="str" cm="1">
        <f t="array" ref="G363">IF(Tabela1[[#This Row],[N°S]]="","NONE",IF(Tabela1[[#This Row],[N°]]=D362,time_sum(G362,Tabela1[[#This Row],[TEMPO]]),Tabela1[[#This Row],[TEMPO]]))</f>
        <v>NONE</v>
      </c>
      <c r="I363" s="1" t="e">
        <f>VLOOKUP(C363,LARGADA!A:B,2,FALSE)</f>
        <v>#N/A</v>
      </c>
      <c r="J363" s="1" t="e">
        <f>VLOOKUP(C363,CHEGADA!A:B,2,FALSE)</f>
        <v>#N/A</v>
      </c>
    </row>
    <row r="364" spans="4:10">
      <c r="D364" s="2" t="str">
        <f>IFERROR(LEFT(Tabela1[[#This Row],[N°S]],LEN(Tabela1[[#This Row],[N°S]])-1),"")</f>
        <v/>
      </c>
      <c r="E364" s="1" t="str" cm="1">
        <f t="array" ref="E364">IFERROR(time_diff_cor(Tabela1[[#This Row],[Largada]],Tabela1[[#This Row],[Chegada]]),"00:20:00:000")</f>
        <v>00:20:00:000</v>
      </c>
      <c r="G364" s="1" t="str" cm="1">
        <f t="array" ref="G364">IF(Tabela1[[#This Row],[N°S]]="","NONE",IF(Tabela1[[#This Row],[N°]]=D363,time_sum(G363,Tabela1[[#This Row],[TEMPO]]),Tabela1[[#This Row],[TEMPO]]))</f>
        <v>NONE</v>
      </c>
      <c r="I364" s="1" t="e">
        <f>VLOOKUP(C364,LARGADA!A:B,2,FALSE)</f>
        <v>#N/A</v>
      </c>
      <c r="J364" s="1" t="e">
        <f>VLOOKUP(C364,CHEGADA!A:B,2,FALSE)</f>
        <v>#N/A</v>
      </c>
    </row>
    <row r="365" spans="4:10">
      <c r="D365" s="2" t="str">
        <f>IFERROR(LEFT(Tabela1[[#This Row],[N°S]],LEN(Tabela1[[#This Row],[N°S]])-1),"")</f>
        <v/>
      </c>
      <c r="E365" s="1" t="str" cm="1">
        <f t="array" ref="E365">IFERROR(time_diff_cor(Tabela1[[#This Row],[Largada]],Tabela1[[#This Row],[Chegada]]),"00:20:00:000")</f>
        <v>00:20:00:000</v>
      </c>
      <c r="G365" s="1" t="str" cm="1">
        <f t="array" ref="G365">IF(Tabela1[[#This Row],[N°S]]="","NONE",IF(Tabela1[[#This Row],[N°]]=D364,time_sum(G364,Tabela1[[#This Row],[TEMPO]]),Tabela1[[#This Row],[TEMPO]]))</f>
        <v>NONE</v>
      </c>
      <c r="I365" s="1" t="e">
        <f>VLOOKUP(C365,LARGADA!A:B,2,FALSE)</f>
        <v>#N/A</v>
      </c>
      <c r="J365" s="1" t="e">
        <f>VLOOKUP(C365,CHEGADA!A:B,2,FALSE)</f>
        <v>#N/A</v>
      </c>
    </row>
    <row r="366" spans="4:10">
      <c r="D366" s="2" t="str">
        <f>IFERROR(LEFT(Tabela1[[#This Row],[N°S]],LEN(Tabela1[[#This Row],[N°S]])-1),"")</f>
        <v/>
      </c>
      <c r="E366" s="1" t="str" cm="1">
        <f t="array" ref="E366">IFERROR(time_diff_cor(Tabela1[[#This Row],[Largada]],Tabela1[[#This Row],[Chegada]]),"00:20:00:000")</f>
        <v>00:20:00:000</v>
      </c>
      <c r="G366" s="1" t="str" cm="1">
        <f t="array" ref="G366">IF(Tabela1[[#This Row],[N°S]]="","NONE",IF(Tabela1[[#This Row],[N°]]=D365,time_sum(G365,Tabela1[[#This Row],[TEMPO]]),Tabela1[[#This Row],[TEMPO]]))</f>
        <v>NONE</v>
      </c>
      <c r="I366" s="1" t="e">
        <f>VLOOKUP(C366,LARGADA!A:B,2,FALSE)</f>
        <v>#N/A</v>
      </c>
      <c r="J366" s="1" t="e">
        <f>VLOOKUP(C366,CHEGADA!A:B,2,FALSE)</f>
        <v>#N/A</v>
      </c>
    </row>
    <row r="367" spans="4:10">
      <c r="D367" s="2" t="str">
        <f>IFERROR(LEFT(Tabela1[[#This Row],[N°S]],LEN(Tabela1[[#This Row],[N°S]])-1),"")</f>
        <v/>
      </c>
      <c r="E367" s="1" t="str" cm="1">
        <f t="array" ref="E367">IFERROR(time_diff_cor(Tabela1[[#This Row],[Largada]],Tabela1[[#This Row],[Chegada]]),"00:20:00:000")</f>
        <v>00:20:00:000</v>
      </c>
      <c r="G367" s="1" t="str" cm="1">
        <f t="array" ref="G367">IF(Tabela1[[#This Row],[N°S]]="","NONE",IF(Tabela1[[#This Row],[N°]]=D366,time_sum(G366,Tabela1[[#This Row],[TEMPO]]),Tabela1[[#This Row],[TEMPO]]))</f>
        <v>NONE</v>
      </c>
      <c r="I367" s="1" t="e">
        <f>VLOOKUP(C367,LARGADA!A:B,2,FALSE)</f>
        <v>#N/A</v>
      </c>
      <c r="J367" s="1" t="e">
        <f>VLOOKUP(C367,CHEGADA!A:B,2,FALSE)</f>
        <v>#N/A</v>
      </c>
    </row>
    <row r="368" spans="4:10">
      <c r="D368" s="2" t="str">
        <f>IFERROR(LEFT(Tabela1[[#This Row],[N°S]],LEN(Tabela1[[#This Row],[N°S]])-1),"")</f>
        <v/>
      </c>
      <c r="E368" s="1" t="str" cm="1">
        <f t="array" ref="E368">IFERROR(time_diff_cor(Tabela1[[#This Row],[Largada]],Tabela1[[#This Row],[Chegada]]),"00:20:00:000")</f>
        <v>00:20:00:000</v>
      </c>
      <c r="G368" s="1" t="str" cm="1">
        <f t="array" ref="G368">IF(Tabela1[[#This Row],[N°S]]="","NONE",IF(Tabela1[[#This Row],[N°]]=D367,time_sum(G367,Tabela1[[#This Row],[TEMPO]]),Tabela1[[#This Row],[TEMPO]]))</f>
        <v>NONE</v>
      </c>
      <c r="I368" s="1" t="e">
        <f>VLOOKUP(C368,LARGADA!A:B,2,FALSE)</f>
        <v>#N/A</v>
      </c>
      <c r="J368" s="1" t="e">
        <f>VLOOKUP(C368,CHEGADA!A:B,2,FALSE)</f>
        <v>#N/A</v>
      </c>
    </row>
    <row r="369" spans="4:10">
      <c r="D369" s="2" t="str">
        <f>IFERROR(LEFT(Tabela1[[#This Row],[N°S]],LEN(Tabela1[[#This Row],[N°S]])-1),"")</f>
        <v/>
      </c>
      <c r="E369" s="1" t="str" cm="1">
        <f t="array" ref="E369">IFERROR(time_diff_cor(Tabela1[[#This Row],[Largada]],Tabela1[[#This Row],[Chegada]]),"00:20:00:000")</f>
        <v>00:20:00:000</v>
      </c>
      <c r="G369" s="1" t="str" cm="1">
        <f t="array" ref="G369">IF(Tabela1[[#This Row],[N°S]]="","NONE",IF(Tabela1[[#This Row],[N°]]=D368,time_sum(G368,Tabela1[[#This Row],[TEMPO]]),Tabela1[[#This Row],[TEMPO]]))</f>
        <v>NONE</v>
      </c>
      <c r="I369" s="1" t="e">
        <f>VLOOKUP(C369,LARGADA!A:B,2,FALSE)</f>
        <v>#N/A</v>
      </c>
      <c r="J369" s="1" t="e">
        <f>VLOOKUP(C369,CHEGADA!A:B,2,FALSE)</f>
        <v>#N/A</v>
      </c>
    </row>
    <row r="370" spans="4:10">
      <c r="D370" s="2" t="str">
        <f>IFERROR(LEFT(Tabela1[[#This Row],[N°S]],LEN(Tabela1[[#This Row],[N°S]])-1),"")</f>
        <v/>
      </c>
      <c r="E370" s="1" t="str" cm="1">
        <f t="array" ref="E370">IFERROR(time_diff_cor(Tabela1[[#This Row],[Largada]],Tabela1[[#This Row],[Chegada]]),"00:20:00:000")</f>
        <v>00:20:00:000</v>
      </c>
      <c r="G370" s="1" t="str" cm="1">
        <f t="array" ref="G370">IF(Tabela1[[#This Row],[N°S]]="","NONE",IF(Tabela1[[#This Row],[N°]]=D369,time_sum(G369,Tabela1[[#This Row],[TEMPO]]),Tabela1[[#This Row],[TEMPO]]))</f>
        <v>NONE</v>
      </c>
      <c r="I370" s="1" t="e">
        <f>VLOOKUP(C370,LARGADA!A:B,2,FALSE)</f>
        <v>#N/A</v>
      </c>
      <c r="J370" s="1" t="e">
        <f>VLOOKUP(C370,CHEGADA!A:B,2,FALSE)</f>
        <v>#N/A</v>
      </c>
    </row>
    <row r="371" spans="4:10">
      <c r="D371" s="2" t="str">
        <f>IFERROR(LEFT(Tabela1[[#This Row],[N°S]],LEN(Tabela1[[#This Row],[N°S]])-1),"")</f>
        <v/>
      </c>
      <c r="E371" s="1" t="str" cm="1">
        <f t="array" ref="E371">IFERROR(time_diff_cor(Tabela1[[#This Row],[Largada]],Tabela1[[#This Row],[Chegada]]),"00:20:00:000")</f>
        <v>00:20:00:000</v>
      </c>
      <c r="G371" s="1" t="str" cm="1">
        <f t="array" ref="G371">IF(Tabela1[[#This Row],[N°S]]="","NONE",IF(Tabela1[[#This Row],[N°]]=D370,time_sum(G370,Tabela1[[#This Row],[TEMPO]]),Tabela1[[#This Row],[TEMPO]]))</f>
        <v>NONE</v>
      </c>
      <c r="I371" s="1" t="e">
        <f>VLOOKUP(C371,LARGADA!A:B,2,FALSE)</f>
        <v>#N/A</v>
      </c>
      <c r="J371" s="1" t="e">
        <f>VLOOKUP(C371,CHEGADA!A:B,2,FALSE)</f>
        <v>#N/A</v>
      </c>
    </row>
    <row r="372" spans="4:10">
      <c r="D372" s="2" t="str">
        <f>IFERROR(LEFT(Tabela1[[#This Row],[N°S]],LEN(Tabela1[[#This Row],[N°S]])-1),"")</f>
        <v/>
      </c>
      <c r="E372" s="1" t="str" cm="1">
        <f t="array" ref="E372">IFERROR(time_diff_cor(Tabela1[[#This Row],[Largada]],Tabela1[[#This Row],[Chegada]]),"00:20:00:000")</f>
        <v>00:20:00:000</v>
      </c>
      <c r="G372" s="1" t="str" cm="1">
        <f t="array" ref="G372">IF(Tabela1[[#This Row],[N°S]]="","NONE",IF(Tabela1[[#This Row],[N°]]=D371,time_sum(G371,Tabela1[[#This Row],[TEMPO]]),Tabela1[[#This Row],[TEMPO]]))</f>
        <v>NONE</v>
      </c>
      <c r="I372" s="1" t="e">
        <f>VLOOKUP(C372,LARGADA!A:B,2,FALSE)</f>
        <v>#N/A</v>
      </c>
      <c r="J372" s="1" t="e">
        <f>VLOOKUP(C372,CHEGADA!A:B,2,FALSE)</f>
        <v>#N/A</v>
      </c>
    </row>
    <row r="373" spans="4:10">
      <c r="D373" s="2" t="str">
        <f>IFERROR(LEFT(Tabela1[[#This Row],[N°S]],LEN(Tabela1[[#This Row],[N°S]])-1),"")</f>
        <v/>
      </c>
      <c r="E373" s="1" t="str" cm="1">
        <f t="array" ref="E373">IFERROR(time_diff_cor(Tabela1[[#This Row],[Largada]],Tabela1[[#This Row],[Chegada]]),"00:20:00:000")</f>
        <v>00:20:00:000</v>
      </c>
      <c r="G373" s="1" t="str" cm="1">
        <f t="array" ref="G373">IF(Tabela1[[#This Row],[N°S]]="","NONE",IF(Tabela1[[#This Row],[N°]]=D372,time_sum(G372,Tabela1[[#This Row],[TEMPO]]),Tabela1[[#This Row],[TEMPO]]))</f>
        <v>NONE</v>
      </c>
      <c r="I373" s="1" t="e">
        <f>VLOOKUP(C373,LARGADA!A:B,2,FALSE)</f>
        <v>#N/A</v>
      </c>
      <c r="J373" s="1" t="e">
        <f>VLOOKUP(C373,CHEGADA!A:B,2,FALSE)</f>
        <v>#N/A</v>
      </c>
    </row>
    <row r="374" spans="4:10">
      <c r="D374" s="2" t="str">
        <f>IFERROR(LEFT(Tabela1[[#This Row],[N°S]],LEN(Tabela1[[#This Row],[N°S]])-1),"")</f>
        <v/>
      </c>
      <c r="E374" s="1" t="str" cm="1">
        <f t="array" ref="E374">IFERROR(time_diff_cor(Tabela1[[#This Row],[Largada]],Tabela1[[#This Row],[Chegada]]),"00:20:00:000")</f>
        <v>00:20:00:000</v>
      </c>
      <c r="G374" s="1" t="str" cm="1">
        <f t="array" ref="G374">IF(Tabela1[[#This Row],[N°S]]="","NONE",IF(Tabela1[[#This Row],[N°]]=D373,time_sum(G373,Tabela1[[#This Row],[TEMPO]]),Tabela1[[#This Row],[TEMPO]]))</f>
        <v>NONE</v>
      </c>
      <c r="I374" s="1" t="e">
        <f>VLOOKUP(C374,LARGADA!A:B,2,FALSE)</f>
        <v>#N/A</v>
      </c>
      <c r="J374" s="1" t="e">
        <f>VLOOKUP(C374,CHEGADA!A:B,2,FALSE)</f>
        <v>#N/A</v>
      </c>
    </row>
    <row r="375" spans="4:10">
      <c r="D375" s="2" t="str">
        <f>IFERROR(LEFT(Tabela1[[#This Row],[N°S]],LEN(Tabela1[[#This Row],[N°S]])-1),"")</f>
        <v/>
      </c>
      <c r="E375" s="1" t="str" cm="1">
        <f t="array" ref="E375">IFERROR(time_diff_cor(Tabela1[[#This Row],[Largada]],Tabela1[[#This Row],[Chegada]]),"00:20:00:000")</f>
        <v>00:20:00:000</v>
      </c>
      <c r="G375" s="1" t="str" cm="1">
        <f t="array" ref="G375">IF(Tabela1[[#This Row],[N°S]]="","NONE",IF(Tabela1[[#This Row],[N°]]=D374,time_sum(G374,Tabela1[[#This Row],[TEMPO]]),Tabela1[[#This Row],[TEMPO]]))</f>
        <v>NONE</v>
      </c>
      <c r="I375" s="1" t="e">
        <f>VLOOKUP(C375,LARGADA!A:B,2,FALSE)</f>
        <v>#N/A</v>
      </c>
      <c r="J375" s="1" t="e">
        <f>VLOOKUP(C375,CHEGADA!A:B,2,FALSE)</f>
        <v>#N/A</v>
      </c>
    </row>
    <row r="376" spans="4:10">
      <c r="D376" s="2" t="str">
        <f>IFERROR(LEFT(Tabela1[[#This Row],[N°S]],LEN(Tabela1[[#This Row],[N°S]])-1),"")</f>
        <v/>
      </c>
      <c r="E376" s="1" t="str" cm="1">
        <f t="array" ref="E376">IFERROR(time_diff_cor(Tabela1[[#This Row],[Largada]],Tabela1[[#This Row],[Chegada]]),"00:20:00:000")</f>
        <v>00:20:00:000</v>
      </c>
      <c r="G376" s="1" t="str" cm="1">
        <f t="array" ref="G376">IF(Tabela1[[#This Row],[N°S]]="","NONE",IF(Tabela1[[#This Row],[N°]]=D375,time_sum(G375,Tabela1[[#This Row],[TEMPO]]),Tabela1[[#This Row],[TEMPO]]))</f>
        <v>NONE</v>
      </c>
      <c r="I376" s="1" t="e">
        <f>VLOOKUP(C376,LARGADA!A:B,2,FALSE)</f>
        <v>#N/A</v>
      </c>
      <c r="J376" s="1" t="e">
        <f>VLOOKUP(C376,CHEGADA!A:B,2,FALSE)</f>
        <v>#N/A</v>
      </c>
    </row>
    <row r="377" spans="4:10">
      <c r="D377" s="2" t="str">
        <f>IFERROR(LEFT(Tabela1[[#This Row],[N°S]],LEN(Tabela1[[#This Row],[N°S]])-1),"")</f>
        <v/>
      </c>
      <c r="E377" s="1" t="str" cm="1">
        <f t="array" ref="E377">IFERROR(time_diff_cor(Tabela1[[#This Row],[Largada]],Tabela1[[#This Row],[Chegada]]),"00:20:00:000")</f>
        <v>00:20:00:000</v>
      </c>
      <c r="G377" s="1" t="str" cm="1">
        <f t="array" ref="G377">IF(Tabela1[[#This Row],[N°S]]="","NONE",IF(Tabela1[[#This Row],[N°]]=D376,time_sum(G376,Tabela1[[#This Row],[TEMPO]]),Tabela1[[#This Row],[TEMPO]]))</f>
        <v>NONE</v>
      </c>
      <c r="I377" s="1" t="e">
        <f>VLOOKUP(C377,LARGADA!A:B,2,FALSE)</f>
        <v>#N/A</v>
      </c>
      <c r="J377" s="1" t="e">
        <f>VLOOKUP(C377,CHEGADA!A:B,2,FALSE)</f>
        <v>#N/A</v>
      </c>
    </row>
    <row r="378" spans="4:10">
      <c r="D378" s="2" t="str">
        <f>IFERROR(LEFT(Tabela1[[#This Row],[N°S]],LEN(Tabela1[[#This Row],[N°S]])-1),"")</f>
        <v/>
      </c>
      <c r="E378" s="1" t="str" cm="1">
        <f t="array" ref="E378">IFERROR(time_diff_cor(Tabela1[[#This Row],[Largada]],Tabela1[[#This Row],[Chegada]]),"00:20:00:000")</f>
        <v>00:20:00:000</v>
      </c>
      <c r="G378" s="1" t="str" cm="1">
        <f t="array" ref="G378">IF(Tabela1[[#This Row],[N°S]]="","NONE",IF(Tabela1[[#This Row],[N°]]=D377,time_sum(G377,Tabela1[[#This Row],[TEMPO]]),Tabela1[[#This Row],[TEMPO]]))</f>
        <v>NONE</v>
      </c>
      <c r="I378" s="1" t="e">
        <f>VLOOKUP(C378,LARGADA!A:B,2,FALSE)</f>
        <v>#N/A</v>
      </c>
      <c r="J378" s="1" t="e">
        <f>VLOOKUP(C378,CHEGADA!A:B,2,FALSE)</f>
        <v>#N/A</v>
      </c>
    </row>
    <row r="379" spans="4:10">
      <c r="D379" s="2" t="str">
        <f>IFERROR(LEFT(Tabela1[[#This Row],[N°S]],LEN(Tabela1[[#This Row],[N°S]])-1),"")</f>
        <v/>
      </c>
      <c r="E379" s="1" t="str" cm="1">
        <f t="array" ref="E379">IFERROR(time_diff_cor(Tabela1[[#This Row],[Largada]],Tabela1[[#This Row],[Chegada]]),"00:20:00:000")</f>
        <v>00:20:00:000</v>
      </c>
      <c r="G379" s="1" t="str" cm="1">
        <f t="array" ref="G379">IF(Tabela1[[#This Row],[N°S]]="","NONE",IF(Tabela1[[#This Row],[N°]]=D378,time_sum(G378,Tabela1[[#This Row],[TEMPO]]),Tabela1[[#This Row],[TEMPO]]))</f>
        <v>NONE</v>
      </c>
      <c r="I379" s="1" t="e">
        <f>VLOOKUP(C379,LARGADA!A:B,2,FALSE)</f>
        <v>#N/A</v>
      </c>
      <c r="J379" s="1" t="e">
        <f>VLOOKUP(C379,CHEGADA!A:B,2,FALSE)</f>
        <v>#N/A</v>
      </c>
    </row>
    <row r="380" spans="4:10">
      <c r="D380" s="2" t="str">
        <f>IFERROR(LEFT(Tabela1[[#This Row],[N°S]],LEN(Tabela1[[#This Row],[N°S]])-1),"")</f>
        <v/>
      </c>
      <c r="E380" s="1" t="str" cm="1">
        <f t="array" ref="E380">IFERROR(time_diff_cor(Tabela1[[#This Row],[Largada]],Tabela1[[#This Row],[Chegada]]),"00:20:00:000")</f>
        <v>00:20:00:000</v>
      </c>
      <c r="G380" s="1" t="str" cm="1">
        <f t="array" ref="G380">IF(Tabela1[[#This Row],[N°S]]="","NONE",IF(Tabela1[[#This Row],[N°]]=D379,time_sum(G379,Tabela1[[#This Row],[TEMPO]]),Tabela1[[#This Row],[TEMPO]]))</f>
        <v>NONE</v>
      </c>
      <c r="I380" s="1" t="e">
        <f>VLOOKUP(C380,LARGADA!A:B,2,FALSE)</f>
        <v>#N/A</v>
      </c>
      <c r="J380" s="1" t="e">
        <f>VLOOKUP(C380,CHEGADA!A:B,2,FALSE)</f>
        <v>#N/A</v>
      </c>
    </row>
    <row r="381" spans="4:10">
      <c r="D381" s="2" t="str">
        <f>IFERROR(LEFT(Tabela1[[#This Row],[N°S]],LEN(Tabela1[[#This Row],[N°S]])-1),"")</f>
        <v/>
      </c>
      <c r="E381" s="1" t="str" cm="1">
        <f t="array" ref="E381">IFERROR(time_diff_cor(Tabela1[[#This Row],[Largada]],Tabela1[[#This Row],[Chegada]]),"00:20:00:000")</f>
        <v>00:20:00:000</v>
      </c>
      <c r="G381" s="1" t="str" cm="1">
        <f t="array" ref="G381">IF(Tabela1[[#This Row],[N°S]]="","NONE",IF(Tabela1[[#This Row],[N°]]=D380,time_sum(G380,Tabela1[[#This Row],[TEMPO]]),Tabela1[[#This Row],[TEMPO]]))</f>
        <v>NONE</v>
      </c>
      <c r="I381" s="1" t="e">
        <f>VLOOKUP(C381,LARGADA!A:B,2,FALSE)</f>
        <v>#N/A</v>
      </c>
      <c r="J381" s="1" t="e">
        <f>VLOOKUP(C381,CHEGADA!A:B,2,FALSE)</f>
        <v>#N/A</v>
      </c>
    </row>
    <row r="382" spans="4:10">
      <c r="D382" s="2" t="str">
        <f>IFERROR(LEFT(Tabela1[[#This Row],[N°S]],LEN(Tabela1[[#This Row],[N°S]])-1),"")</f>
        <v/>
      </c>
      <c r="E382" s="1" t="str" cm="1">
        <f t="array" ref="E382">IFERROR(time_diff_cor(Tabela1[[#This Row],[Largada]],Tabela1[[#This Row],[Chegada]]),"00:20:00:000")</f>
        <v>00:20:00:000</v>
      </c>
      <c r="G382" s="1" t="str" cm="1">
        <f t="array" ref="G382">IF(Tabela1[[#This Row],[N°S]]="","NONE",IF(Tabela1[[#This Row],[N°]]=D381,time_sum(G381,Tabela1[[#This Row],[TEMPO]]),Tabela1[[#This Row],[TEMPO]]))</f>
        <v>NONE</v>
      </c>
      <c r="I382" s="1" t="e">
        <f>VLOOKUP(C382,LARGADA!A:B,2,FALSE)</f>
        <v>#N/A</v>
      </c>
      <c r="J382" s="1" t="e">
        <f>VLOOKUP(C382,CHEGADA!A:B,2,FALSE)</f>
        <v>#N/A</v>
      </c>
    </row>
    <row r="383" spans="4:10">
      <c r="D383" s="2" t="str">
        <f>IFERROR(LEFT(Tabela1[[#This Row],[N°S]],LEN(Tabela1[[#This Row],[N°S]])-1),"")</f>
        <v/>
      </c>
      <c r="E383" s="1" t="str" cm="1">
        <f t="array" ref="E383">IFERROR(time_diff_cor(Tabela1[[#This Row],[Largada]],Tabela1[[#This Row],[Chegada]]),"00:20:00:000")</f>
        <v>00:20:00:000</v>
      </c>
      <c r="G383" s="1" t="str" cm="1">
        <f t="array" ref="G383">IF(Tabela1[[#This Row],[N°S]]="","NONE",IF(Tabela1[[#This Row],[N°]]=D382,time_sum(G382,Tabela1[[#This Row],[TEMPO]]),Tabela1[[#This Row],[TEMPO]]))</f>
        <v>NONE</v>
      </c>
      <c r="I383" s="1" t="e">
        <f>VLOOKUP(C383,LARGADA!A:B,2,FALSE)</f>
        <v>#N/A</v>
      </c>
      <c r="J383" s="1" t="e">
        <f>VLOOKUP(C383,CHEGADA!A:B,2,FALSE)</f>
        <v>#N/A</v>
      </c>
    </row>
    <row r="384" spans="4:10">
      <c r="D384" s="2" t="str">
        <f>IFERROR(LEFT(Tabela1[[#This Row],[N°S]],LEN(Tabela1[[#This Row],[N°S]])-1),"")</f>
        <v/>
      </c>
      <c r="E384" s="1" t="str" cm="1">
        <f t="array" ref="E384">IFERROR(time_diff_cor(Tabela1[[#This Row],[Largada]],Tabela1[[#This Row],[Chegada]]),"00:20:00:000")</f>
        <v>00:20:00:000</v>
      </c>
      <c r="G384" s="1" t="str" cm="1">
        <f t="array" ref="G384">IF(Tabela1[[#This Row],[N°S]]="","NONE",IF(Tabela1[[#This Row],[N°]]=D383,time_sum(G383,Tabela1[[#This Row],[TEMPO]]),Tabela1[[#This Row],[TEMPO]]))</f>
        <v>NONE</v>
      </c>
      <c r="I384" s="1" t="e">
        <f>VLOOKUP(C384,LARGADA!A:B,2,FALSE)</f>
        <v>#N/A</v>
      </c>
      <c r="J384" s="1" t="e">
        <f>VLOOKUP(C384,CHEGADA!A:B,2,FALSE)</f>
        <v>#N/A</v>
      </c>
    </row>
    <row r="385" spans="4:10">
      <c r="D385" s="2" t="str">
        <f>IFERROR(LEFT(Tabela1[[#This Row],[N°S]],LEN(Tabela1[[#This Row],[N°S]])-1),"")</f>
        <v/>
      </c>
      <c r="E385" s="1" t="str" cm="1">
        <f t="array" ref="E385">IFERROR(time_diff_cor(Tabela1[[#This Row],[Largada]],Tabela1[[#This Row],[Chegada]]),"00:20:00:000")</f>
        <v>00:20:00:000</v>
      </c>
      <c r="G385" s="1" t="str" cm="1">
        <f t="array" ref="G385">IF(Tabela1[[#This Row],[N°S]]="","NONE",IF(Tabela1[[#This Row],[N°]]=D384,time_sum(G384,Tabela1[[#This Row],[TEMPO]]),Tabela1[[#This Row],[TEMPO]]))</f>
        <v>NONE</v>
      </c>
      <c r="I385" s="1" t="e">
        <f>VLOOKUP(C385,LARGADA!A:B,2,FALSE)</f>
        <v>#N/A</v>
      </c>
      <c r="J385" s="1" t="e">
        <f>VLOOKUP(C385,CHEGADA!A:B,2,FALSE)</f>
        <v>#N/A</v>
      </c>
    </row>
    <row r="386" spans="4:10">
      <c r="D386" s="2" t="str">
        <f>IFERROR(LEFT(Tabela1[[#This Row],[N°S]],LEN(Tabela1[[#This Row],[N°S]])-1),"")</f>
        <v/>
      </c>
      <c r="E386" s="1" t="str" cm="1">
        <f t="array" ref="E386">IFERROR(time_diff_cor(Tabela1[[#This Row],[Largada]],Tabela1[[#This Row],[Chegada]]),"00:20:00:000")</f>
        <v>00:20:00:000</v>
      </c>
      <c r="G386" s="1" t="str" cm="1">
        <f t="array" ref="G386">IF(Tabela1[[#This Row],[N°S]]="","NONE",IF(Tabela1[[#This Row],[N°]]=D385,time_sum(G385,Tabela1[[#This Row],[TEMPO]]),Tabela1[[#This Row],[TEMPO]]))</f>
        <v>NONE</v>
      </c>
      <c r="I386" s="1" t="e">
        <f>VLOOKUP(C386,LARGADA!A:B,2,FALSE)</f>
        <v>#N/A</v>
      </c>
      <c r="J386" s="1" t="e">
        <f>VLOOKUP(C386,CHEGADA!A:B,2,FALSE)</f>
        <v>#N/A</v>
      </c>
    </row>
    <row r="387" spans="4:10">
      <c r="D387" s="2" t="str">
        <f>IFERROR(LEFT(Tabela1[[#This Row],[N°S]],LEN(Tabela1[[#This Row],[N°S]])-1),"")</f>
        <v/>
      </c>
      <c r="E387" s="1" t="str" cm="1">
        <f t="array" ref="E387">IFERROR(time_diff_cor(Tabela1[[#This Row],[Largada]],Tabela1[[#This Row],[Chegada]]),"00:20:00:000")</f>
        <v>00:20:00:000</v>
      </c>
      <c r="G387" s="1" t="str" cm="1">
        <f t="array" ref="G387">IF(Tabela1[[#This Row],[N°S]]="","NONE",IF(Tabela1[[#This Row],[N°]]=D386,time_sum(G386,Tabela1[[#This Row],[TEMPO]]),Tabela1[[#This Row],[TEMPO]]))</f>
        <v>NONE</v>
      </c>
      <c r="I387" s="1" t="e">
        <f>VLOOKUP(C387,LARGADA!A:B,2,FALSE)</f>
        <v>#N/A</v>
      </c>
      <c r="J387" s="1" t="e">
        <f>VLOOKUP(C387,CHEGADA!A:B,2,FALSE)</f>
        <v>#N/A</v>
      </c>
    </row>
    <row r="388" spans="4:10">
      <c r="D388" s="2" t="str">
        <f>IFERROR(LEFT(Tabela1[[#This Row],[N°S]],LEN(Tabela1[[#This Row],[N°S]])-1),"")</f>
        <v/>
      </c>
      <c r="E388" s="1" t="str" cm="1">
        <f t="array" ref="E388">IFERROR(time_diff_cor(Tabela1[[#This Row],[Largada]],Tabela1[[#This Row],[Chegada]]),"00:20:00:000")</f>
        <v>00:20:00:000</v>
      </c>
      <c r="G388" s="1" t="str" cm="1">
        <f t="array" ref="G388">IF(Tabela1[[#This Row],[N°S]]="","NONE",IF(Tabela1[[#This Row],[N°]]=D387,time_sum(G387,Tabela1[[#This Row],[TEMPO]]),Tabela1[[#This Row],[TEMPO]]))</f>
        <v>NONE</v>
      </c>
      <c r="I388" s="1" t="e">
        <f>VLOOKUP(C388,LARGADA!A:B,2,FALSE)</f>
        <v>#N/A</v>
      </c>
      <c r="J388" s="1" t="e">
        <f>VLOOKUP(C388,CHEGADA!A:B,2,FALSE)</f>
        <v>#N/A</v>
      </c>
    </row>
    <row r="389" spans="4:10">
      <c r="D389" s="2" t="str">
        <f>IFERROR(LEFT(Tabela1[[#This Row],[N°S]],LEN(Tabela1[[#This Row],[N°S]])-1),"")</f>
        <v/>
      </c>
      <c r="E389" s="1" t="str" cm="1">
        <f t="array" ref="E389">IFERROR(time_diff_cor(Tabela1[[#This Row],[Largada]],Tabela1[[#This Row],[Chegada]]),"00:20:00:000")</f>
        <v>00:20:00:000</v>
      </c>
      <c r="G389" s="1" t="str" cm="1">
        <f t="array" ref="G389">IF(Tabela1[[#This Row],[N°S]]="","NONE",IF(Tabela1[[#This Row],[N°]]=D388,time_sum(G388,Tabela1[[#This Row],[TEMPO]]),Tabela1[[#This Row],[TEMPO]]))</f>
        <v>NONE</v>
      </c>
      <c r="I389" s="1" t="e">
        <f>VLOOKUP(C389,LARGADA!A:B,2,FALSE)</f>
        <v>#N/A</v>
      </c>
      <c r="J389" s="1" t="e">
        <f>VLOOKUP(C389,CHEGADA!A:B,2,FALSE)</f>
        <v>#N/A</v>
      </c>
    </row>
    <row r="390" spans="4:10">
      <c r="D390" s="2" t="str">
        <f>IFERROR(LEFT(Tabela1[[#This Row],[N°S]],LEN(Tabela1[[#This Row],[N°S]])-1),"")</f>
        <v/>
      </c>
      <c r="E390" s="1" t="str" cm="1">
        <f t="array" ref="E390">IFERROR(time_diff_cor(Tabela1[[#This Row],[Largada]],Tabela1[[#This Row],[Chegada]]),"00:20:00:000")</f>
        <v>00:20:00:000</v>
      </c>
      <c r="G390" s="1" t="str" cm="1">
        <f t="array" ref="G390">IF(Tabela1[[#This Row],[N°S]]="","NONE",IF(Tabela1[[#This Row],[N°]]=D389,time_sum(G389,Tabela1[[#This Row],[TEMPO]]),Tabela1[[#This Row],[TEMPO]]))</f>
        <v>NONE</v>
      </c>
      <c r="I390" s="1" t="e">
        <f>VLOOKUP(C390,LARGADA!A:B,2,FALSE)</f>
        <v>#N/A</v>
      </c>
      <c r="J390" s="1" t="e">
        <f>VLOOKUP(C390,CHEGADA!A:B,2,FALSE)</f>
        <v>#N/A</v>
      </c>
    </row>
    <row r="391" spans="4:10">
      <c r="D391" s="2" t="str">
        <f>IFERROR(LEFT(Tabela1[[#This Row],[N°S]],LEN(Tabela1[[#This Row],[N°S]])-1),"")</f>
        <v/>
      </c>
      <c r="E391" s="1" t="str" cm="1">
        <f t="array" ref="E391">IFERROR(time_diff_cor(Tabela1[[#This Row],[Largada]],Tabela1[[#This Row],[Chegada]]),"00:20:00:000")</f>
        <v>00:20:00:000</v>
      </c>
      <c r="G391" s="1" t="str" cm="1">
        <f t="array" ref="G391">IF(Tabela1[[#This Row],[N°S]]="","NONE",IF(Tabela1[[#This Row],[N°]]=D390,time_sum(G390,Tabela1[[#This Row],[TEMPO]]),Tabela1[[#This Row],[TEMPO]]))</f>
        <v>NONE</v>
      </c>
      <c r="I391" s="1" t="e">
        <f>VLOOKUP(C391,LARGADA!A:B,2,FALSE)</f>
        <v>#N/A</v>
      </c>
      <c r="J391" s="1" t="e">
        <f>VLOOKUP(C391,CHEGADA!A:B,2,FALSE)</f>
        <v>#N/A</v>
      </c>
    </row>
    <row r="392" spans="4:10">
      <c r="D392" s="2" t="str">
        <f>IFERROR(LEFT(Tabela1[[#This Row],[N°S]],LEN(Tabela1[[#This Row],[N°S]])-1),"")</f>
        <v/>
      </c>
      <c r="E392" s="1" t="str" cm="1">
        <f t="array" ref="E392">IFERROR(time_diff_cor(Tabela1[[#This Row],[Largada]],Tabela1[[#This Row],[Chegada]]),"00:20:00:000")</f>
        <v>00:20:00:000</v>
      </c>
      <c r="G392" s="1" t="str" cm="1">
        <f t="array" ref="G392">IF(Tabela1[[#This Row],[N°S]]="","NONE",IF(Tabela1[[#This Row],[N°]]=D391,time_sum(G391,Tabela1[[#This Row],[TEMPO]]),Tabela1[[#This Row],[TEMPO]]))</f>
        <v>NONE</v>
      </c>
      <c r="I392" s="1" t="e">
        <f>VLOOKUP(C392,LARGADA!A:B,2,FALSE)</f>
        <v>#N/A</v>
      </c>
      <c r="J392" s="1" t="e">
        <f>VLOOKUP(C392,CHEGADA!A:B,2,FALSE)</f>
        <v>#N/A</v>
      </c>
    </row>
    <row r="393" spans="4:10">
      <c r="D393" s="2" t="str">
        <f>IFERROR(LEFT(Tabela1[[#This Row],[N°S]],LEN(Tabela1[[#This Row],[N°S]])-1),"")</f>
        <v/>
      </c>
      <c r="E393" s="1" t="str" cm="1">
        <f t="array" ref="E393">IFERROR(time_diff_cor(Tabela1[[#This Row],[Largada]],Tabela1[[#This Row],[Chegada]]),"00:20:00:000")</f>
        <v>00:20:00:000</v>
      </c>
      <c r="G393" s="1" t="str" cm="1">
        <f t="array" ref="G393">IF(Tabela1[[#This Row],[N°S]]="","NONE",IF(Tabela1[[#This Row],[N°]]=D392,time_sum(G392,Tabela1[[#This Row],[TEMPO]]),Tabela1[[#This Row],[TEMPO]]))</f>
        <v>NONE</v>
      </c>
      <c r="I393" s="1" t="e">
        <f>VLOOKUP(C393,LARGADA!A:B,2,FALSE)</f>
        <v>#N/A</v>
      </c>
      <c r="J393" s="1" t="e">
        <f>VLOOKUP(C393,CHEGADA!A:B,2,FALSE)</f>
        <v>#N/A</v>
      </c>
    </row>
    <row r="394" spans="4:10">
      <c r="D394" s="2" t="str">
        <f>IFERROR(LEFT(Tabela1[[#This Row],[N°S]],LEN(Tabela1[[#This Row],[N°S]])-1),"")</f>
        <v/>
      </c>
      <c r="E394" s="1" t="str" cm="1">
        <f t="array" ref="E394">IFERROR(time_diff_cor(Tabela1[[#This Row],[Largada]],Tabela1[[#This Row],[Chegada]]),"00:20:00:000")</f>
        <v>00:20:00:000</v>
      </c>
      <c r="G394" s="1" t="str" cm="1">
        <f t="array" ref="G394">IF(Tabela1[[#This Row],[N°S]]="","NONE",IF(Tabela1[[#This Row],[N°]]=D393,time_sum(G393,Tabela1[[#This Row],[TEMPO]]),Tabela1[[#This Row],[TEMPO]]))</f>
        <v>NONE</v>
      </c>
      <c r="I394" s="1" t="e">
        <f>VLOOKUP(C394,LARGADA!A:B,2,FALSE)</f>
        <v>#N/A</v>
      </c>
      <c r="J394" s="1" t="e">
        <f>VLOOKUP(C394,CHEGADA!A:B,2,FALSE)</f>
        <v>#N/A</v>
      </c>
    </row>
    <row r="395" spans="4:10">
      <c r="D395" s="2" t="str">
        <f>IFERROR(LEFT(Tabela1[[#This Row],[N°S]],LEN(Tabela1[[#This Row],[N°S]])-1),"")</f>
        <v/>
      </c>
      <c r="E395" s="1" t="str" cm="1">
        <f t="array" ref="E395">IFERROR(time_diff_cor(Tabela1[[#This Row],[Largada]],Tabela1[[#This Row],[Chegada]]),"00:20:00:000")</f>
        <v>00:20:00:000</v>
      </c>
      <c r="G395" s="1" t="str" cm="1">
        <f t="array" ref="G395">IF(Tabela1[[#This Row],[N°S]]="","NONE",IF(Tabela1[[#This Row],[N°]]=D394,time_sum(G394,Tabela1[[#This Row],[TEMPO]]),Tabela1[[#This Row],[TEMPO]]))</f>
        <v>NONE</v>
      </c>
      <c r="I395" s="1" t="e">
        <f>VLOOKUP(C395,LARGADA!A:B,2,FALSE)</f>
        <v>#N/A</v>
      </c>
      <c r="J395" s="1" t="e">
        <f>VLOOKUP(C395,CHEGADA!A:B,2,FALSE)</f>
        <v>#N/A</v>
      </c>
    </row>
    <row r="396" spans="4:10">
      <c r="D396" s="2" t="str">
        <f>IFERROR(LEFT(Tabela1[[#This Row],[N°S]],LEN(Tabela1[[#This Row],[N°S]])-1),"")</f>
        <v/>
      </c>
      <c r="E396" s="1" t="str" cm="1">
        <f t="array" ref="E396">IFERROR(time_diff_cor(Tabela1[[#This Row],[Largada]],Tabela1[[#This Row],[Chegada]]),"00:20:00:000")</f>
        <v>00:20:00:000</v>
      </c>
      <c r="G396" s="1" t="str" cm="1">
        <f t="array" ref="G396">IF(Tabela1[[#This Row],[N°S]]="","NONE",IF(Tabela1[[#This Row],[N°]]=D395,time_sum(G395,Tabela1[[#This Row],[TEMPO]]),Tabela1[[#This Row],[TEMPO]]))</f>
        <v>NONE</v>
      </c>
      <c r="I396" s="1" t="e">
        <f>VLOOKUP(C396,LARGADA!A:B,2,FALSE)</f>
        <v>#N/A</v>
      </c>
      <c r="J396" s="1" t="e">
        <f>VLOOKUP(C396,CHEGADA!A:B,2,FALSE)</f>
        <v>#N/A</v>
      </c>
    </row>
    <row r="397" spans="4:10">
      <c r="D397" s="2" t="str">
        <f>IFERROR(LEFT(Tabela1[[#This Row],[N°S]],LEN(Tabela1[[#This Row],[N°S]])-1),"")</f>
        <v/>
      </c>
      <c r="E397" s="1" t="str" cm="1">
        <f t="array" ref="E397">IFERROR(time_diff_cor(Tabela1[[#This Row],[Largada]],Tabela1[[#This Row],[Chegada]]),"00:20:00:000")</f>
        <v>00:20:00:000</v>
      </c>
      <c r="G397" s="1" t="str" cm="1">
        <f t="array" ref="G397">IF(Tabela1[[#This Row],[N°S]]="","NONE",IF(Tabela1[[#This Row],[N°]]=D396,time_sum(G396,Tabela1[[#This Row],[TEMPO]]),Tabela1[[#This Row],[TEMPO]]))</f>
        <v>NONE</v>
      </c>
      <c r="I397" s="1" t="e">
        <f>VLOOKUP(C397,LARGADA!A:B,2,FALSE)</f>
        <v>#N/A</v>
      </c>
      <c r="J397" s="1" t="e">
        <f>VLOOKUP(C397,CHEGADA!A:B,2,FALSE)</f>
        <v>#N/A</v>
      </c>
    </row>
    <row r="398" spans="4:10">
      <c r="D398" s="2" t="str">
        <f>IFERROR(LEFT(Tabela1[[#This Row],[N°S]],LEN(Tabela1[[#This Row],[N°S]])-1),"")</f>
        <v/>
      </c>
      <c r="E398" s="1" t="str" cm="1">
        <f t="array" ref="E398">IFERROR(time_diff_cor(Tabela1[[#This Row],[Largada]],Tabela1[[#This Row],[Chegada]]),"00:20:00:000")</f>
        <v>00:20:00:000</v>
      </c>
      <c r="G398" s="1" t="str" cm="1">
        <f t="array" ref="G398">IF(Tabela1[[#This Row],[N°S]]="","NONE",IF(Tabela1[[#This Row],[N°]]=D397,time_sum(G397,Tabela1[[#This Row],[TEMPO]]),Tabela1[[#This Row],[TEMPO]]))</f>
        <v>NONE</v>
      </c>
      <c r="I398" s="1" t="e">
        <f>VLOOKUP(C398,LARGADA!A:B,2,FALSE)</f>
        <v>#N/A</v>
      </c>
      <c r="J398" s="1" t="e">
        <f>VLOOKUP(C398,CHEGADA!A:B,2,FALSE)</f>
        <v>#N/A</v>
      </c>
    </row>
    <row r="399" spans="4:10">
      <c r="D399" s="2" t="str">
        <f>IFERROR(LEFT(Tabela1[[#This Row],[N°S]],LEN(Tabela1[[#This Row],[N°S]])-1),"")</f>
        <v/>
      </c>
      <c r="E399" s="1" t="str" cm="1">
        <f t="array" ref="E399">IFERROR(time_diff_cor(Tabela1[[#This Row],[Largada]],Tabela1[[#This Row],[Chegada]]),"00:20:00:000")</f>
        <v>00:20:00:000</v>
      </c>
      <c r="G399" s="1" t="str" cm="1">
        <f t="array" ref="G399">IF(Tabela1[[#This Row],[N°S]]="","NONE",IF(Tabela1[[#This Row],[N°]]=D398,time_sum(G398,Tabela1[[#This Row],[TEMPO]]),Tabela1[[#This Row],[TEMPO]]))</f>
        <v>NONE</v>
      </c>
      <c r="I399" s="1" t="e">
        <f>VLOOKUP(C399,LARGADA!A:B,2,FALSE)</f>
        <v>#N/A</v>
      </c>
      <c r="J399" s="1" t="e">
        <f>VLOOKUP(C399,CHEGADA!A:B,2,FALSE)</f>
        <v>#N/A</v>
      </c>
    </row>
    <row r="400" spans="4:10">
      <c r="D400" s="2" t="str">
        <f>IFERROR(LEFT(Tabela1[[#This Row],[N°S]],LEN(Tabela1[[#This Row],[N°S]])-1),"")</f>
        <v/>
      </c>
      <c r="E400" s="1" t="str" cm="1">
        <f t="array" ref="E400">IFERROR(time_diff_cor(Tabela1[[#This Row],[Largada]],Tabela1[[#This Row],[Chegada]]),"00:20:00:000")</f>
        <v>00:20:00:000</v>
      </c>
      <c r="G400" s="1" t="str" cm="1">
        <f t="array" ref="G400">IF(Tabela1[[#This Row],[N°S]]="","NONE",IF(Tabela1[[#This Row],[N°]]=D399,time_sum(G399,Tabela1[[#This Row],[TEMPO]]),Tabela1[[#This Row],[TEMPO]]))</f>
        <v>NONE</v>
      </c>
      <c r="I400" s="1" t="e">
        <f>VLOOKUP(C400,LARGADA!A:B,2,FALSE)</f>
        <v>#N/A</v>
      </c>
      <c r="J400" s="1" t="e">
        <f>VLOOKUP(C400,CHEGADA!A:B,2,FALSE)</f>
        <v>#N/A</v>
      </c>
    </row>
    <row r="401" spans="4:10">
      <c r="D401" s="2" t="str">
        <f>IFERROR(LEFT(Tabela1[[#This Row],[N°S]],LEN(Tabela1[[#This Row],[N°S]])-1),"")</f>
        <v/>
      </c>
      <c r="E401" s="1" t="str" cm="1">
        <f t="array" ref="E401">IFERROR(time_diff_cor(Tabela1[[#This Row],[Largada]],Tabela1[[#This Row],[Chegada]]),"00:20:00:000")</f>
        <v>00:20:00:000</v>
      </c>
      <c r="G401" s="1" t="str" cm="1">
        <f t="array" ref="G401">IF(Tabela1[[#This Row],[N°S]]="","NONE",IF(Tabela1[[#This Row],[N°]]=D400,time_sum(G400,Tabela1[[#This Row],[TEMPO]]),Tabela1[[#This Row],[TEMPO]]))</f>
        <v>NONE</v>
      </c>
      <c r="I401" s="1" t="e">
        <f>VLOOKUP(C401,LARGADA!A:B,2,FALSE)</f>
        <v>#N/A</v>
      </c>
      <c r="J401" s="1" t="e">
        <f>VLOOKUP(C401,CHEGADA!A:B,2,FALSE)</f>
        <v>#N/A</v>
      </c>
    </row>
    <row r="402" spans="4:10">
      <c r="D402" s="2" t="str">
        <f>IFERROR(LEFT(Tabela1[[#This Row],[N°S]],LEN(Tabela1[[#This Row],[N°S]])-1),"")</f>
        <v/>
      </c>
      <c r="E402" s="1" t="str" cm="1">
        <f t="array" ref="E402">IFERROR(time_diff_cor(Tabela1[[#This Row],[Largada]],Tabela1[[#This Row],[Chegada]]),"00:20:00:000")</f>
        <v>00:20:00:000</v>
      </c>
      <c r="G402" s="1" t="str" cm="1">
        <f t="array" ref="G402">IF(Tabela1[[#This Row],[N°S]]="","NONE",IF(Tabela1[[#This Row],[N°]]=D401,time_sum(G401,Tabela1[[#This Row],[TEMPO]]),Tabela1[[#This Row],[TEMPO]]))</f>
        <v>NONE</v>
      </c>
      <c r="I402" s="1" t="e">
        <f>VLOOKUP(C402,LARGADA!A:B,2,FALSE)</f>
        <v>#N/A</v>
      </c>
      <c r="J402" s="1" t="e">
        <f>VLOOKUP(C402,CHEGADA!A:B,2,FALSE)</f>
        <v>#N/A</v>
      </c>
    </row>
    <row r="403" spans="4:10">
      <c r="D403" s="2" t="str">
        <f>IFERROR(LEFT(Tabela1[[#This Row],[N°S]],LEN(Tabela1[[#This Row],[N°S]])-1),"")</f>
        <v/>
      </c>
      <c r="E403" s="1" t="str" cm="1">
        <f t="array" ref="E403">IFERROR(time_diff_cor(Tabela1[[#This Row],[Largada]],Tabela1[[#This Row],[Chegada]]),"00:20:00:000")</f>
        <v>00:20:00:000</v>
      </c>
      <c r="G403" s="1" t="str" cm="1">
        <f t="array" ref="G403">IF(Tabela1[[#This Row],[N°S]]="","NONE",IF(Tabela1[[#This Row],[N°]]=D402,time_sum(G402,Tabela1[[#This Row],[TEMPO]]),Tabela1[[#This Row],[TEMPO]]))</f>
        <v>NONE</v>
      </c>
      <c r="I403" s="1" t="e">
        <f>VLOOKUP(C403,LARGADA!A:B,2,FALSE)</f>
        <v>#N/A</v>
      </c>
      <c r="J403" s="1" t="e">
        <f>VLOOKUP(C403,CHEGADA!A:B,2,FALSE)</f>
        <v>#N/A</v>
      </c>
    </row>
    <row r="404" spans="4:10">
      <c r="D404" s="2" t="str">
        <f>IFERROR(LEFT(Tabela1[[#This Row],[N°S]],LEN(Tabela1[[#This Row],[N°S]])-1),"")</f>
        <v/>
      </c>
      <c r="E404" s="1" t="str" cm="1">
        <f t="array" ref="E404">IFERROR(time_diff_cor(Tabela1[[#This Row],[Largada]],Tabela1[[#This Row],[Chegada]]),"00:20:00:000")</f>
        <v>00:20:00:000</v>
      </c>
      <c r="G404" s="1" t="str" cm="1">
        <f t="array" ref="G404">IF(Tabela1[[#This Row],[N°S]]="","NONE",IF(Tabela1[[#This Row],[N°]]=D403,time_sum(G403,Tabela1[[#This Row],[TEMPO]]),Tabela1[[#This Row],[TEMPO]]))</f>
        <v>NONE</v>
      </c>
      <c r="I404" s="1" t="e">
        <f>VLOOKUP(C404,LARGADA!A:B,2,FALSE)</f>
        <v>#N/A</v>
      </c>
      <c r="J404" s="1" t="e">
        <f>VLOOKUP(C404,CHEGADA!A:B,2,FALSE)</f>
        <v>#N/A</v>
      </c>
    </row>
    <row r="405" spans="4:10">
      <c r="D405" s="2" t="str">
        <f>IFERROR(LEFT(Tabela1[[#This Row],[N°S]],LEN(Tabela1[[#This Row],[N°S]])-1),"")</f>
        <v/>
      </c>
      <c r="E405" s="1" t="str" cm="1">
        <f t="array" ref="E405">IFERROR(time_diff_cor(Tabela1[[#This Row],[Largada]],Tabela1[[#This Row],[Chegada]]),"00:20:00:000")</f>
        <v>00:20:00:000</v>
      </c>
      <c r="G405" s="1" t="str" cm="1">
        <f t="array" ref="G405">IF(Tabela1[[#This Row],[N°S]]="","NONE",IF(Tabela1[[#This Row],[N°]]=D404,time_sum(G404,Tabela1[[#This Row],[TEMPO]]),Tabela1[[#This Row],[TEMPO]]))</f>
        <v>NONE</v>
      </c>
      <c r="I405" s="1" t="e">
        <f>VLOOKUP(C405,LARGADA!A:B,2,FALSE)</f>
        <v>#N/A</v>
      </c>
      <c r="J405" s="1" t="e">
        <f>VLOOKUP(C405,CHEGADA!A:B,2,FALSE)</f>
        <v>#N/A</v>
      </c>
    </row>
    <row r="406" spans="4:10">
      <c r="D406" s="2" t="str">
        <f>IFERROR(LEFT(Tabela1[[#This Row],[N°S]],LEN(Tabela1[[#This Row],[N°S]])-1),"")</f>
        <v/>
      </c>
      <c r="E406" s="1" t="str" cm="1">
        <f t="array" ref="E406">IFERROR(time_diff_cor(Tabela1[[#This Row],[Largada]],Tabela1[[#This Row],[Chegada]]),"00:20:00:000")</f>
        <v>00:20:00:000</v>
      </c>
      <c r="G406" s="1" t="str" cm="1">
        <f t="array" ref="G406">IF(Tabela1[[#This Row],[N°S]]="","NONE",IF(Tabela1[[#This Row],[N°]]=D405,time_sum(G405,Tabela1[[#This Row],[TEMPO]]),Tabela1[[#This Row],[TEMPO]]))</f>
        <v>NONE</v>
      </c>
      <c r="I406" s="1" t="e">
        <f>VLOOKUP(C406,LARGADA!A:B,2,FALSE)</f>
        <v>#N/A</v>
      </c>
      <c r="J406" s="1" t="e">
        <f>VLOOKUP(C406,CHEGADA!A:B,2,FALSE)</f>
        <v>#N/A</v>
      </c>
    </row>
    <row r="407" spans="4:10">
      <c r="D407" s="2" t="str">
        <f>IFERROR(LEFT(Tabela1[[#This Row],[N°S]],LEN(Tabela1[[#This Row],[N°S]])-1),"")</f>
        <v/>
      </c>
      <c r="E407" s="1" t="str" cm="1">
        <f t="array" ref="E407">IFERROR(time_diff_cor(Tabela1[[#This Row],[Largada]],Tabela1[[#This Row],[Chegada]]),"00:20:00:000")</f>
        <v>00:20:00:000</v>
      </c>
      <c r="G407" s="1" t="str" cm="1">
        <f t="array" ref="G407">IF(Tabela1[[#This Row],[N°S]]="","NONE",IF(Tabela1[[#This Row],[N°]]=D406,time_sum(G406,Tabela1[[#This Row],[TEMPO]]),Tabela1[[#This Row],[TEMPO]]))</f>
        <v>NONE</v>
      </c>
      <c r="I407" s="1" t="e">
        <f>VLOOKUP(C407,LARGADA!A:B,2,FALSE)</f>
        <v>#N/A</v>
      </c>
      <c r="J407" s="1" t="e">
        <f>VLOOKUP(C407,CHEGADA!A:B,2,FALSE)</f>
        <v>#N/A</v>
      </c>
    </row>
    <row r="408" spans="4:10">
      <c r="D408" s="2" t="str">
        <f>IFERROR(LEFT(Tabela1[[#This Row],[N°S]],LEN(Tabela1[[#This Row],[N°S]])-1),"")</f>
        <v/>
      </c>
      <c r="E408" s="1" t="str" cm="1">
        <f t="array" ref="E408">IFERROR(time_diff_cor(Tabela1[[#This Row],[Largada]],Tabela1[[#This Row],[Chegada]]),"00:20:00:000")</f>
        <v>00:20:00:000</v>
      </c>
      <c r="G408" s="1" t="str" cm="1">
        <f t="array" ref="G408">IF(Tabela1[[#This Row],[N°S]]="","NONE",IF(Tabela1[[#This Row],[N°]]=D407,time_sum(G407,Tabela1[[#This Row],[TEMPO]]),Tabela1[[#This Row],[TEMPO]]))</f>
        <v>NONE</v>
      </c>
      <c r="I408" s="1" t="e">
        <f>VLOOKUP(C408,LARGADA!A:B,2,FALSE)</f>
        <v>#N/A</v>
      </c>
      <c r="J408" s="1" t="e">
        <f>VLOOKUP(C408,CHEGADA!A:B,2,FALSE)</f>
        <v>#N/A</v>
      </c>
    </row>
    <row r="409" spans="4:10">
      <c r="D409" s="2" t="str">
        <f>IFERROR(LEFT(Tabela1[[#This Row],[N°S]],LEN(Tabela1[[#This Row],[N°S]])-1),"")</f>
        <v/>
      </c>
      <c r="E409" s="1" t="str" cm="1">
        <f t="array" ref="E409">IFERROR(time_diff_cor(Tabela1[[#This Row],[Largada]],Tabela1[[#This Row],[Chegada]]),"00:20:00:000")</f>
        <v>00:20:00:000</v>
      </c>
      <c r="G409" s="1" t="str" cm="1">
        <f t="array" ref="G409">IF(Tabela1[[#This Row],[N°S]]="","NONE",IF(Tabela1[[#This Row],[N°]]=D408,time_sum(G408,Tabela1[[#This Row],[TEMPO]]),Tabela1[[#This Row],[TEMPO]]))</f>
        <v>NONE</v>
      </c>
      <c r="I409" s="1" t="e">
        <f>VLOOKUP(C409,LARGADA!A:B,2,FALSE)</f>
        <v>#N/A</v>
      </c>
      <c r="J409" s="1" t="e">
        <f>VLOOKUP(C409,CHEGADA!A:B,2,FALSE)</f>
        <v>#N/A</v>
      </c>
    </row>
    <row r="410" spans="4:10">
      <c r="D410" s="2" t="str">
        <f>IFERROR(LEFT(Tabela1[[#This Row],[N°S]],LEN(Tabela1[[#This Row],[N°S]])-1),"")</f>
        <v/>
      </c>
      <c r="E410" s="1" t="str" cm="1">
        <f t="array" ref="E410">IFERROR(time_diff_cor(Tabela1[[#This Row],[Largada]],Tabela1[[#This Row],[Chegada]]),"00:20:00:000")</f>
        <v>00:20:00:000</v>
      </c>
      <c r="G410" s="1" t="str" cm="1">
        <f t="array" ref="G410">IF(Tabela1[[#This Row],[N°S]]="","NONE",IF(Tabela1[[#This Row],[N°]]=D409,time_sum(G409,Tabela1[[#This Row],[TEMPO]]),Tabela1[[#This Row],[TEMPO]]))</f>
        <v>NONE</v>
      </c>
      <c r="I410" s="1" t="e">
        <f>VLOOKUP(C410,LARGADA!A:B,2,FALSE)</f>
        <v>#N/A</v>
      </c>
      <c r="J410" s="1" t="e">
        <f>VLOOKUP(C410,CHEGADA!A:B,2,FALSE)</f>
        <v>#N/A</v>
      </c>
    </row>
    <row r="411" spans="4:10">
      <c r="D411" s="2" t="str">
        <f>IFERROR(LEFT(Tabela1[[#This Row],[N°S]],LEN(Tabela1[[#This Row],[N°S]])-1),"")</f>
        <v/>
      </c>
      <c r="E411" s="1" t="str" cm="1">
        <f t="array" ref="E411">IFERROR(time_diff_cor(Tabela1[[#This Row],[Largada]],Tabela1[[#This Row],[Chegada]]),"00:20:00:000")</f>
        <v>00:20:00:000</v>
      </c>
      <c r="G411" s="1" t="str" cm="1">
        <f t="array" ref="G411">IF(Tabela1[[#This Row],[N°S]]="","NONE",IF(Tabela1[[#This Row],[N°]]=D410,time_sum(G410,Tabela1[[#This Row],[TEMPO]]),Tabela1[[#This Row],[TEMPO]]))</f>
        <v>NONE</v>
      </c>
      <c r="I411" s="1" t="e">
        <f>VLOOKUP(C411,LARGADA!A:B,2,FALSE)</f>
        <v>#N/A</v>
      </c>
      <c r="J411" s="1" t="e">
        <f>VLOOKUP(C411,CHEGADA!A:B,2,FALSE)</f>
        <v>#N/A</v>
      </c>
    </row>
    <row r="412" spans="4:10">
      <c r="D412" s="2" t="str">
        <f>IFERROR(LEFT(Tabela1[[#This Row],[N°S]],LEN(Tabela1[[#This Row],[N°S]])-1),"")</f>
        <v/>
      </c>
      <c r="E412" s="1" t="str" cm="1">
        <f t="array" ref="E412">IFERROR(time_diff_cor(Tabela1[[#This Row],[Largada]],Tabela1[[#This Row],[Chegada]]),"00:20:00:000")</f>
        <v>00:20:00:000</v>
      </c>
      <c r="G412" s="1" t="str" cm="1">
        <f t="array" ref="G412">IF(Tabela1[[#This Row],[N°S]]="","NONE",IF(Tabela1[[#This Row],[N°]]=D411,time_sum(G411,Tabela1[[#This Row],[TEMPO]]),Tabela1[[#This Row],[TEMPO]]))</f>
        <v>NONE</v>
      </c>
      <c r="I412" s="1" t="e">
        <f>VLOOKUP(C412,LARGADA!A:B,2,FALSE)</f>
        <v>#N/A</v>
      </c>
      <c r="J412" s="1" t="e">
        <f>VLOOKUP(C412,CHEGADA!A:B,2,FALSE)</f>
        <v>#N/A</v>
      </c>
    </row>
    <row r="413" spans="4:10">
      <c r="D413" s="2" t="str">
        <f>IFERROR(LEFT(Tabela1[[#This Row],[N°S]],LEN(Tabela1[[#This Row],[N°S]])-1),"")</f>
        <v/>
      </c>
      <c r="E413" s="1" t="str" cm="1">
        <f t="array" ref="E413">IFERROR(time_diff_cor(Tabela1[[#This Row],[Largada]],Tabela1[[#This Row],[Chegada]]),"00:20:00:000")</f>
        <v>00:20:00:000</v>
      </c>
      <c r="G413" s="1" t="str" cm="1">
        <f t="array" ref="G413">IF(Tabela1[[#This Row],[N°S]]="","NONE",IF(Tabela1[[#This Row],[N°]]=D412,time_sum(G412,Tabela1[[#This Row],[TEMPO]]),Tabela1[[#This Row],[TEMPO]]))</f>
        <v>NONE</v>
      </c>
      <c r="I413" s="1" t="e">
        <f>VLOOKUP(C413,LARGADA!A:B,2,FALSE)</f>
        <v>#N/A</v>
      </c>
      <c r="J413" s="1" t="e">
        <f>VLOOKUP(C413,CHEGADA!A:B,2,FALSE)</f>
        <v>#N/A</v>
      </c>
    </row>
    <row r="414" spans="4:10">
      <c r="D414" s="2" t="str">
        <f>IFERROR(LEFT(Tabela1[[#This Row],[N°S]],LEN(Tabela1[[#This Row],[N°S]])-1),"")</f>
        <v/>
      </c>
      <c r="E414" s="1" t="str" cm="1">
        <f t="array" ref="E414">IFERROR(time_diff_cor(Tabela1[[#This Row],[Largada]],Tabela1[[#This Row],[Chegada]]),"00:20:00:000")</f>
        <v>00:20:00:000</v>
      </c>
      <c r="G414" s="1" t="str" cm="1">
        <f t="array" ref="G414">IF(Tabela1[[#This Row],[N°S]]="","NONE",IF(Tabela1[[#This Row],[N°]]=D413,time_sum(G413,Tabela1[[#This Row],[TEMPO]]),Tabela1[[#This Row],[TEMPO]]))</f>
        <v>NONE</v>
      </c>
      <c r="I414" s="1" t="e">
        <f>VLOOKUP(C414,LARGADA!A:B,2,FALSE)</f>
        <v>#N/A</v>
      </c>
      <c r="J414" s="1" t="e">
        <f>VLOOKUP(C414,CHEGADA!A:B,2,FALSE)</f>
        <v>#N/A</v>
      </c>
    </row>
    <row r="415" spans="4:10">
      <c r="D415" s="2" t="str">
        <f>IFERROR(LEFT(Tabela1[[#This Row],[N°S]],LEN(Tabela1[[#This Row],[N°S]])-1),"")</f>
        <v/>
      </c>
      <c r="E415" s="1" t="str" cm="1">
        <f t="array" ref="E415">IFERROR(time_diff_cor(Tabela1[[#This Row],[Largada]],Tabela1[[#This Row],[Chegada]]),"00:20:00:000")</f>
        <v>00:20:00:000</v>
      </c>
      <c r="G415" s="1" t="str" cm="1">
        <f t="array" ref="G415">IF(Tabela1[[#This Row],[N°S]]="","NONE",IF(Tabela1[[#This Row],[N°]]=D414,time_sum(G414,Tabela1[[#This Row],[TEMPO]]),Tabela1[[#This Row],[TEMPO]]))</f>
        <v>NONE</v>
      </c>
      <c r="I415" s="1" t="e">
        <f>VLOOKUP(C415,LARGADA!A:B,2,FALSE)</f>
        <v>#N/A</v>
      </c>
      <c r="J415" s="1" t="e">
        <f>VLOOKUP(C415,CHEGADA!A:B,2,FALSE)</f>
        <v>#N/A</v>
      </c>
    </row>
    <row r="416" spans="4:10">
      <c r="D416" s="2" t="str">
        <f>IFERROR(LEFT(Tabela1[[#This Row],[N°S]],LEN(Tabela1[[#This Row],[N°S]])-1),"")</f>
        <v/>
      </c>
      <c r="E416" s="1" t="str" cm="1">
        <f t="array" ref="E416">IFERROR(time_diff_cor(Tabela1[[#This Row],[Largada]],Tabela1[[#This Row],[Chegada]]),"00:20:00:000")</f>
        <v>00:20:00:000</v>
      </c>
      <c r="G416" s="1" t="str" cm="1">
        <f t="array" ref="G416">IF(Tabela1[[#This Row],[N°S]]="","NONE",IF(Tabela1[[#This Row],[N°]]=D415,time_sum(G415,Tabela1[[#This Row],[TEMPO]]),Tabela1[[#This Row],[TEMPO]]))</f>
        <v>NONE</v>
      </c>
      <c r="I416" s="1" t="e">
        <f>VLOOKUP(C416,LARGADA!A:B,2,FALSE)</f>
        <v>#N/A</v>
      </c>
      <c r="J416" s="1" t="e">
        <f>VLOOKUP(C416,CHEGADA!A:B,2,FALSE)</f>
        <v>#N/A</v>
      </c>
    </row>
    <row r="417" spans="4:10">
      <c r="D417" s="2" t="str">
        <f>IFERROR(LEFT(Tabela1[[#This Row],[N°S]],LEN(Tabela1[[#This Row],[N°S]])-1),"")</f>
        <v/>
      </c>
      <c r="E417" s="1" t="str" cm="1">
        <f t="array" ref="E417">IFERROR(time_diff_cor(Tabela1[[#This Row],[Largada]],Tabela1[[#This Row],[Chegada]]),"00:20:00:000")</f>
        <v>00:20:00:000</v>
      </c>
      <c r="G417" s="1" t="str" cm="1">
        <f t="array" ref="G417">IF(Tabela1[[#This Row],[N°S]]="","NONE",IF(Tabela1[[#This Row],[N°]]=D416,time_sum(G416,Tabela1[[#This Row],[TEMPO]]),Tabela1[[#This Row],[TEMPO]]))</f>
        <v>NONE</v>
      </c>
      <c r="I417" s="1" t="e">
        <f>VLOOKUP(C417,LARGADA!A:B,2,FALSE)</f>
        <v>#N/A</v>
      </c>
      <c r="J417" s="1" t="e">
        <f>VLOOKUP(C417,CHEGADA!A:B,2,FALSE)</f>
        <v>#N/A</v>
      </c>
    </row>
    <row r="418" spans="4:10">
      <c r="D418" s="2" t="str">
        <f>IFERROR(LEFT(Tabela1[[#This Row],[N°S]],LEN(Tabela1[[#This Row],[N°S]])-1),"")</f>
        <v/>
      </c>
      <c r="E418" s="1" t="str" cm="1">
        <f t="array" ref="E418">IFERROR(time_diff_cor(Tabela1[[#This Row],[Largada]],Tabela1[[#This Row],[Chegada]]),"00:20:00:000")</f>
        <v>00:20:00:000</v>
      </c>
      <c r="G418" s="1" t="str" cm="1">
        <f t="array" ref="G418">IF(Tabela1[[#This Row],[N°S]]="","NONE",IF(Tabela1[[#This Row],[N°]]=D417,time_sum(G417,Tabela1[[#This Row],[TEMPO]]),Tabela1[[#This Row],[TEMPO]]))</f>
        <v>NONE</v>
      </c>
      <c r="I418" s="1" t="e">
        <f>VLOOKUP(C418,LARGADA!A:B,2,FALSE)</f>
        <v>#N/A</v>
      </c>
      <c r="J418" s="1" t="e">
        <f>VLOOKUP(C418,CHEGADA!A:B,2,FALSE)</f>
        <v>#N/A</v>
      </c>
    </row>
    <row r="419" spans="4:10">
      <c r="D419" s="2" t="str">
        <f>IFERROR(LEFT(Tabela1[[#This Row],[N°S]],LEN(Tabela1[[#This Row],[N°S]])-1),"")</f>
        <v/>
      </c>
      <c r="E419" s="1" t="str" cm="1">
        <f t="array" ref="E419">IFERROR(time_diff_cor(Tabela1[[#This Row],[Largada]],Tabela1[[#This Row],[Chegada]]),"00:20:00:000")</f>
        <v>00:20:00:000</v>
      </c>
      <c r="G419" s="1" t="str" cm="1">
        <f t="array" ref="G419">IF(Tabela1[[#This Row],[N°S]]="","NONE",IF(Tabela1[[#This Row],[N°]]=D418,time_sum(G418,Tabela1[[#This Row],[TEMPO]]),Tabela1[[#This Row],[TEMPO]]))</f>
        <v>NONE</v>
      </c>
      <c r="I419" s="1" t="e">
        <f>VLOOKUP(C419,LARGADA!A:B,2,FALSE)</f>
        <v>#N/A</v>
      </c>
      <c r="J419" s="1" t="e">
        <f>VLOOKUP(C419,CHEGADA!A:B,2,FALSE)</f>
        <v>#N/A</v>
      </c>
    </row>
    <row r="420" spans="4:10">
      <c r="D420" s="2" t="str">
        <f>IFERROR(LEFT(Tabela1[[#This Row],[N°S]],LEN(Tabela1[[#This Row],[N°S]])-1),"")</f>
        <v/>
      </c>
      <c r="E420" s="1" t="str" cm="1">
        <f t="array" ref="E420">IFERROR(time_diff_cor(Tabela1[[#This Row],[Largada]],Tabela1[[#This Row],[Chegada]]),"00:20:00:000")</f>
        <v>00:20:00:000</v>
      </c>
      <c r="G420" s="1" t="str" cm="1">
        <f t="array" ref="G420">IF(Tabela1[[#This Row],[N°S]]="","NONE",IF(Tabela1[[#This Row],[N°]]=D419,time_sum(G419,Tabela1[[#This Row],[TEMPO]]),Tabela1[[#This Row],[TEMPO]]))</f>
        <v>NONE</v>
      </c>
      <c r="I420" s="1" t="e">
        <f>VLOOKUP(C420,LARGADA!A:B,2,FALSE)</f>
        <v>#N/A</v>
      </c>
      <c r="J420" s="1" t="e">
        <f>VLOOKUP(C420,CHEGADA!A:B,2,FALSE)</f>
        <v>#N/A</v>
      </c>
    </row>
    <row r="421" spans="4:10">
      <c r="D421" s="2" t="str">
        <f>IFERROR(LEFT(Tabela1[[#This Row],[N°S]],LEN(Tabela1[[#This Row],[N°S]])-1),"")</f>
        <v/>
      </c>
      <c r="E421" s="1" t="str" cm="1">
        <f t="array" ref="E421">IFERROR(time_diff_cor(Tabela1[[#This Row],[Largada]],Tabela1[[#This Row],[Chegada]]),"00:20:00:000")</f>
        <v>00:20:00:000</v>
      </c>
      <c r="G421" s="1" t="str" cm="1">
        <f t="array" ref="G421">IF(Tabela1[[#This Row],[N°S]]="","NONE",IF(Tabela1[[#This Row],[N°]]=D420,time_sum(G420,Tabela1[[#This Row],[TEMPO]]),Tabela1[[#This Row],[TEMPO]]))</f>
        <v>NONE</v>
      </c>
      <c r="I421" s="1" t="e">
        <f>VLOOKUP(C421,LARGADA!A:B,2,FALSE)</f>
        <v>#N/A</v>
      </c>
      <c r="J421" s="1" t="e">
        <f>VLOOKUP(C421,CHEGADA!A:B,2,FALSE)</f>
        <v>#N/A</v>
      </c>
    </row>
    <row r="422" spans="4:10">
      <c r="D422" s="2" t="str">
        <f>IFERROR(LEFT(Tabela1[[#This Row],[N°S]],LEN(Tabela1[[#This Row],[N°S]])-1),"")</f>
        <v/>
      </c>
      <c r="E422" s="1" t="str" cm="1">
        <f t="array" ref="E422">IFERROR(time_diff_cor(Tabela1[[#This Row],[Largada]],Tabela1[[#This Row],[Chegada]]),"00:20:00:000")</f>
        <v>00:20:00:000</v>
      </c>
      <c r="G422" s="1" t="str" cm="1">
        <f t="array" ref="G422">IF(Tabela1[[#This Row],[N°S]]="","NONE",IF(Tabela1[[#This Row],[N°]]=D421,time_sum(G421,Tabela1[[#This Row],[TEMPO]]),Tabela1[[#This Row],[TEMPO]]))</f>
        <v>NONE</v>
      </c>
      <c r="I422" s="1" t="e">
        <f>VLOOKUP(C422,LARGADA!A:B,2,FALSE)</f>
        <v>#N/A</v>
      </c>
      <c r="J422" s="1" t="e">
        <f>VLOOKUP(C422,CHEGADA!A:B,2,FALSE)</f>
        <v>#N/A</v>
      </c>
    </row>
    <row r="423" spans="4:10">
      <c r="D423" s="2" t="str">
        <f>IFERROR(LEFT(Tabela1[[#This Row],[N°S]],LEN(Tabela1[[#This Row],[N°S]])-1),"")</f>
        <v/>
      </c>
      <c r="E423" s="1" t="str" cm="1">
        <f t="array" ref="E423">IFERROR(time_diff_cor(Tabela1[[#This Row],[Largada]],Tabela1[[#This Row],[Chegada]]),"00:20:00:000")</f>
        <v>00:20:00:000</v>
      </c>
      <c r="G423" s="1" t="str" cm="1">
        <f t="array" ref="G423">IF(Tabela1[[#This Row],[N°S]]="","NONE",IF(Tabela1[[#This Row],[N°]]=D422,time_sum(G422,Tabela1[[#This Row],[TEMPO]]),Tabela1[[#This Row],[TEMPO]]))</f>
        <v>NONE</v>
      </c>
      <c r="I423" s="1" t="e">
        <f>VLOOKUP(C423,LARGADA!A:B,2,FALSE)</f>
        <v>#N/A</v>
      </c>
      <c r="J423" s="1" t="e">
        <f>VLOOKUP(C423,CHEGADA!A:B,2,FALSE)</f>
        <v>#N/A</v>
      </c>
    </row>
    <row r="424" spans="4:10">
      <c r="D424" s="2" t="str">
        <f>IFERROR(LEFT(Tabela1[[#This Row],[N°S]],LEN(Tabela1[[#This Row],[N°S]])-1),"")</f>
        <v/>
      </c>
      <c r="E424" s="1" t="str" cm="1">
        <f t="array" ref="E424">IFERROR(time_diff_cor(Tabela1[[#This Row],[Largada]],Tabela1[[#This Row],[Chegada]]),"00:20:00:000")</f>
        <v>00:20:00:000</v>
      </c>
      <c r="G424" s="1" t="str" cm="1">
        <f t="array" ref="G424">IF(Tabela1[[#This Row],[N°S]]="","NONE",IF(Tabela1[[#This Row],[N°]]=D423,time_sum(G423,Tabela1[[#This Row],[TEMPO]]),Tabela1[[#This Row],[TEMPO]]))</f>
        <v>NONE</v>
      </c>
      <c r="I424" s="1" t="e">
        <f>VLOOKUP(C424,LARGADA!A:B,2,FALSE)</f>
        <v>#N/A</v>
      </c>
      <c r="J424" s="1" t="e">
        <f>VLOOKUP(C424,CHEGADA!A:B,2,FALSE)</f>
        <v>#N/A</v>
      </c>
    </row>
    <row r="425" spans="4:10">
      <c r="D425" s="2" t="str">
        <f>IFERROR(LEFT(Tabela1[[#This Row],[N°S]],LEN(Tabela1[[#This Row],[N°S]])-1),"")</f>
        <v/>
      </c>
      <c r="E425" s="1" t="str" cm="1">
        <f t="array" ref="E425">IFERROR(time_diff_cor(Tabela1[[#This Row],[Largada]],Tabela1[[#This Row],[Chegada]]),"00:20:00:000")</f>
        <v>00:20:00:000</v>
      </c>
      <c r="G425" s="1" t="str" cm="1">
        <f t="array" ref="G425">IF(Tabela1[[#This Row],[N°S]]="","NONE",IF(Tabela1[[#This Row],[N°]]=D424,time_sum(G424,Tabela1[[#This Row],[TEMPO]]),Tabela1[[#This Row],[TEMPO]]))</f>
        <v>NONE</v>
      </c>
      <c r="I425" s="1" t="e">
        <f>VLOOKUP(C425,LARGADA!A:B,2,FALSE)</f>
        <v>#N/A</v>
      </c>
      <c r="J425" s="1" t="e">
        <f>VLOOKUP(C425,CHEGADA!A:B,2,FALSE)</f>
        <v>#N/A</v>
      </c>
    </row>
    <row r="426" spans="4:10">
      <c r="D426" s="2" t="str">
        <f>IFERROR(LEFT(Tabela1[[#This Row],[N°S]],LEN(Tabela1[[#This Row],[N°S]])-1),"")</f>
        <v/>
      </c>
      <c r="E426" s="1" t="str" cm="1">
        <f t="array" ref="E426">IFERROR(time_diff_cor(Tabela1[[#This Row],[Largada]],Tabela1[[#This Row],[Chegada]]),"00:20:00:000")</f>
        <v>00:20:00:000</v>
      </c>
      <c r="G426" s="1" t="str" cm="1">
        <f t="array" ref="G426">IF(Tabela1[[#This Row],[N°S]]="","NONE",IF(Tabela1[[#This Row],[N°]]=D425,time_sum(G425,Tabela1[[#This Row],[TEMPO]]),Tabela1[[#This Row],[TEMPO]]))</f>
        <v>NONE</v>
      </c>
      <c r="I426" s="1" t="e">
        <f>VLOOKUP(C426,LARGADA!A:B,2,FALSE)</f>
        <v>#N/A</v>
      </c>
      <c r="J426" s="1" t="e">
        <f>VLOOKUP(C426,CHEGADA!A:B,2,FALSE)</f>
        <v>#N/A</v>
      </c>
    </row>
    <row r="427" spans="4:10">
      <c r="D427" s="2" t="str">
        <f>IFERROR(LEFT(Tabela1[[#This Row],[N°S]],LEN(Tabela1[[#This Row],[N°S]])-1),"")</f>
        <v/>
      </c>
      <c r="E427" s="1" t="str" cm="1">
        <f t="array" ref="E427">IFERROR(time_diff_cor(Tabela1[[#This Row],[Largada]],Tabela1[[#This Row],[Chegada]]),"00:20:00:000")</f>
        <v>00:20:00:000</v>
      </c>
      <c r="G427" s="1" t="str" cm="1">
        <f t="array" ref="G427">IF(Tabela1[[#This Row],[N°S]]="","NONE",IF(Tabela1[[#This Row],[N°]]=D426,time_sum(G426,Tabela1[[#This Row],[TEMPO]]),Tabela1[[#This Row],[TEMPO]]))</f>
        <v>NONE</v>
      </c>
      <c r="I427" s="1" t="e">
        <f>VLOOKUP(C427,LARGADA!A:B,2,FALSE)</f>
        <v>#N/A</v>
      </c>
      <c r="J427" s="1" t="e">
        <f>VLOOKUP(C427,CHEGADA!A:B,2,FALSE)</f>
        <v>#N/A</v>
      </c>
    </row>
    <row r="428" spans="4:10">
      <c r="D428" s="2" t="str">
        <f>IFERROR(LEFT(Tabela1[[#This Row],[N°S]],LEN(Tabela1[[#This Row],[N°S]])-1),"")</f>
        <v/>
      </c>
      <c r="E428" s="1" t="str" cm="1">
        <f t="array" ref="E428">IFERROR(time_diff_cor(Tabela1[[#This Row],[Largada]],Tabela1[[#This Row],[Chegada]]),"00:20:00:000")</f>
        <v>00:20:00:000</v>
      </c>
      <c r="G428" s="1" t="str" cm="1">
        <f t="array" ref="G428">IF(Tabela1[[#This Row],[N°S]]="","NONE",IF(Tabela1[[#This Row],[N°]]=D427,time_sum(G427,Tabela1[[#This Row],[TEMPO]]),Tabela1[[#This Row],[TEMPO]]))</f>
        <v>NONE</v>
      </c>
      <c r="I428" s="1" t="e">
        <f>VLOOKUP(C428,LARGADA!A:B,2,FALSE)</f>
        <v>#N/A</v>
      </c>
      <c r="J428" s="1" t="e">
        <f>VLOOKUP(C428,CHEGADA!A:B,2,FALSE)</f>
        <v>#N/A</v>
      </c>
    </row>
    <row r="429" spans="4:10">
      <c r="D429" s="2" t="str">
        <f>IFERROR(LEFT(Tabela1[[#This Row],[N°S]],LEN(Tabela1[[#This Row],[N°S]])-1),"")</f>
        <v/>
      </c>
      <c r="E429" s="1" t="str" cm="1">
        <f t="array" ref="E429">IFERROR(time_diff_cor(Tabela1[[#This Row],[Largada]],Tabela1[[#This Row],[Chegada]]),"00:20:00:000")</f>
        <v>00:20:00:000</v>
      </c>
      <c r="G429" s="1" t="str" cm="1">
        <f t="array" ref="G429">IF(Tabela1[[#This Row],[N°S]]="","NONE",IF(Tabela1[[#This Row],[N°]]=D428,time_sum(G428,Tabela1[[#This Row],[TEMPO]]),Tabela1[[#This Row],[TEMPO]]))</f>
        <v>NONE</v>
      </c>
      <c r="I429" s="1" t="e">
        <f>VLOOKUP(C429,LARGADA!A:B,2,FALSE)</f>
        <v>#N/A</v>
      </c>
      <c r="J429" s="1" t="e">
        <f>VLOOKUP(C429,CHEGADA!A:B,2,FALSE)</f>
        <v>#N/A</v>
      </c>
    </row>
    <row r="430" spans="4:10">
      <c r="D430" s="2" t="str">
        <f>IFERROR(LEFT(Tabela1[[#This Row],[N°S]],LEN(Tabela1[[#This Row],[N°S]])-1),"")</f>
        <v/>
      </c>
      <c r="E430" s="1" t="str" cm="1">
        <f t="array" ref="E430">IFERROR(time_diff_cor(Tabela1[[#This Row],[Largada]],Tabela1[[#This Row],[Chegada]]),"00:20:00:000")</f>
        <v>00:20:00:000</v>
      </c>
      <c r="G430" s="1" t="str" cm="1">
        <f t="array" ref="G430">IF(Tabela1[[#This Row],[N°S]]="","NONE",IF(Tabela1[[#This Row],[N°]]=D429,time_sum(G429,Tabela1[[#This Row],[TEMPO]]),Tabela1[[#This Row],[TEMPO]]))</f>
        <v>NONE</v>
      </c>
      <c r="I430" s="1" t="e">
        <f>VLOOKUP(C430,LARGADA!A:B,2,FALSE)</f>
        <v>#N/A</v>
      </c>
      <c r="J430" s="1" t="e">
        <f>VLOOKUP(C430,CHEGADA!A:B,2,FALSE)</f>
        <v>#N/A</v>
      </c>
    </row>
    <row r="431" spans="4:10">
      <c r="D431" s="2" t="str">
        <f>IFERROR(LEFT(Tabela1[[#This Row],[N°S]],LEN(Tabela1[[#This Row],[N°S]])-1),"")</f>
        <v/>
      </c>
      <c r="E431" s="1" t="str" cm="1">
        <f t="array" ref="E431">IFERROR(time_diff_cor(Tabela1[[#This Row],[Largada]],Tabela1[[#This Row],[Chegada]]),"00:20:00:000")</f>
        <v>00:20:00:000</v>
      </c>
      <c r="G431" s="1" t="str" cm="1">
        <f t="array" ref="G431">IF(Tabela1[[#This Row],[N°S]]="","NONE",IF(Tabela1[[#This Row],[N°]]=D430,time_sum(G430,Tabela1[[#This Row],[TEMPO]]),Tabela1[[#This Row],[TEMPO]]))</f>
        <v>NONE</v>
      </c>
      <c r="I431" s="1" t="e">
        <f>VLOOKUP(C431,LARGADA!A:B,2,FALSE)</f>
        <v>#N/A</v>
      </c>
      <c r="J431" s="1" t="e">
        <f>VLOOKUP(C431,CHEGADA!A:B,2,FALSE)</f>
        <v>#N/A</v>
      </c>
    </row>
    <row r="432" spans="4:10">
      <c r="D432" s="2" t="str">
        <f>IFERROR(LEFT(Tabela1[[#This Row],[N°S]],LEN(Tabela1[[#This Row],[N°S]])-1),"")</f>
        <v/>
      </c>
      <c r="E432" s="1" t="str" cm="1">
        <f t="array" ref="E432">IFERROR(time_diff_cor(Tabela1[[#This Row],[Largada]],Tabela1[[#This Row],[Chegada]]),"00:20:00:000")</f>
        <v>00:20:00:000</v>
      </c>
      <c r="G432" s="1" t="str" cm="1">
        <f t="array" ref="G432">IF(Tabela1[[#This Row],[N°S]]="","NONE",IF(Tabela1[[#This Row],[N°]]=D431,time_sum(G431,Tabela1[[#This Row],[TEMPO]]),Tabela1[[#This Row],[TEMPO]]))</f>
        <v>NONE</v>
      </c>
      <c r="I432" s="1" t="e">
        <f>VLOOKUP(C432,LARGADA!A:B,2,FALSE)</f>
        <v>#N/A</v>
      </c>
      <c r="J432" s="1" t="e">
        <f>VLOOKUP(C432,CHEGADA!A:B,2,FALSE)</f>
        <v>#N/A</v>
      </c>
    </row>
    <row r="433" spans="4:10">
      <c r="D433" s="2" t="str">
        <f>IFERROR(LEFT(Tabela1[[#This Row],[N°S]],LEN(Tabela1[[#This Row],[N°S]])-1),"")</f>
        <v/>
      </c>
      <c r="E433" s="1" t="str" cm="1">
        <f t="array" ref="E433">IFERROR(time_diff_cor(Tabela1[[#This Row],[Largada]],Tabela1[[#This Row],[Chegada]]),"00:20:00:000")</f>
        <v>00:20:00:000</v>
      </c>
      <c r="G433" s="1" t="str" cm="1">
        <f t="array" ref="G433">IF(Tabela1[[#This Row],[N°S]]="","NONE",IF(Tabela1[[#This Row],[N°]]=D432,time_sum(G432,Tabela1[[#This Row],[TEMPO]]),Tabela1[[#This Row],[TEMPO]]))</f>
        <v>NONE</v>
      </c>
      <c r="I433" s="1" t="e">
        <f>VLOOKUP(C433,LARGADA!A:B,2,FALSE)</f>
        <v>#N/A</v>
      </c>
      <c r="J433" s="1" t="e">
        <f>VLOOKUP(C433,CHEGADA!A:B,2,FALSE)</f>
        <v>#N/A</v>
      </c>
    </row>
    <row r="434" spans="4:10">
      <c r="D434" s="2" t="str">
        <f>IFERROR(LEFT(Tabela1[[#This Row],[N°S]],LEN(Tabela1[[#This Row],[N°S]])-1),"")</f>
        <v/>
      </c>
      <c r="E434" s="1" t="str" cm="1">
        <f t="array" ref="E434">IFERROR(time_diff_cor(Tabela1[[#This Row],[Largada]],Tabela1[[#This Row],[Chegada]]),"00:20:00:000")</f>
        <v>00:20:00:000</v>
      </c>
      <c r="G434" s="1" t="str" cm="1">
        <f t="array" ref="G434">IF(Tabela1[[#This Row],[N°S]]="","NONE",IF(Tabela1[[#This Row],[N°]]=D433,time_sum(G433,Tabela1[[#This Row],[TEMPO]]),Tabela1[[#This Row],[TEMPO]]))</f>
        <v>NONE</v>
      </c>
      <c r="I434" s="1" t="e">
        <f>VLOOKUP(C434,LARGADA!A:B,2,FALSE)</f>
        <v>#N/A</v>
      </c>
      <c r="J434" s="1" t="e">
        <f>VLOOKUP(C434,CHEGADA!A:B,2,FALSE)</f>
        <v>#N/A</v>
      </c>
    </row>
    <row r="435" spans="4:10">
      <c r="D435" s="2" t="str">
        <f>IFERROR(LEFT(Tabela1[[#This Row],[N°S]],LEN(Tabela1[[#This Row],[N°S]])-1),"")</f>
        <v/>
      </c>
      <c r="E435" s="1" t="str" cm="1">
        <f t="array" ref="E435">IFERROR(time_diff_cor(Tabela1[[#This Row],[Largada]],Tabela1[[#This Row],[Chegada]]),"00:20:00:000")</f>
        <v>00:20:00:000</v>
      </c>
      <c r="G435" s="1" t="str" cm="1">
        <f t="array" ref="G435">IF(Tabela1[[#This Row],[N°S]]="","NONE",IF(Tabela1[[#This Row],[N°]]=D434,time_sum(G434,Tabela1[[#This Row],[TEMPO]]),Tabela1[[#This Row],[TEMPO]]))</f>
        <v>NONE</v>
      </c>
      <c r="I435" s="1" t="e">
        <f>VLOOKUP(C435,LARGADA!A:B,2,FALSE)</f>
        <v>#N/A</v>
      </c>
      <c r="J435" s="1" t="e">
        <f>VLOOKUP(C435,CHEGADA!A:B,2,FALSE)</f>
        <v>#N/A</v>
      </c>
    </row>
    <row r="436" spans="4:10">
      <c r="D436" s="2" t="str">
        <f>IFERROR(LEFT(Tabela1[[#This Row],[N°S]],LEN(Tabela1[[#This Row],[N°S]])-1),"")</f>
        <v/>
      </c>
      <c r="E436" s="1" t="str" cm="1">
        <f t="array" ref="E436">IFERROR(time_diff_cor(Tabela1[[#This Row],[Largada]],Tabela1[[#This Row],[Chegada]]),"00:20:00:000")</f>
        <v>00:20:00:000</v>
      </c>
      <c r="G436" s="1" t="str" cm="1">
        <f t="array" ref="G436">IF(Tabela1[[#This Row],[N°S]]="","NONE",IF(Tabela1[[#This Row],[N°]]=D435,time_sum(G435,Tabela1[[#This Row],[TEMPO]]),Tabela1[[#This Row],[TEMPO]]))</f>
        <v>NONE</v>
      </c>
      <c r="I436" s="1" t="e">
        <f>VLOOKUP(C436,LARGADA!A:B,2,FALSE)</f>
        <v>#N/A</v>
      </c>
      <c r="J436" s="1" t="e">
        <f>VLOOKUP(C436,CHEGADA!A:B,2,FALSE)</f>
        <v>#N/A</v>
      </c>
    </row>
    <row r="437" spans="4:10">
      <c r="D437" s="2" t="str">
        <f>IFERROR(LEFT(Tabela1[[#This Row],[N°S]],LEN(Tabela1[[#This Row],[N°S]])-1),"")</f>
        <v/>
      </c>
      <c r="E437" s="1" t="str" cm="1">
        <f t="array" ref="E437">IFERROR(time_diff_cor(Tabela1[[#This Row],[Largada]],Tabela1[[#This Row],[Chegada]]),"00:20:00:000")</f>
        <v>00:20:00:000</v>
      </c>
      <c r="G437" s="1" t="str" cm="1">
        <f t="array" ref="G437">IF(Tabela1[[#This Row],[N°S]]="","NONE",IF(Tabela1[[#This Row],[N°]]=D436,time_sum(G436,Tabela1[[#This Row],[TEMPO]]),Tabela1[[#This Row],[TEMPO]]))</f>
        <v>NONE</v>
      </c>
      <c r="I437" s="1" t="e">
        <f>VLOOKUP(C437,LARGADA!A:B,2,FALSE)</f>
        <v>#N/A</v>
      </c>
      <c r="J437" s="1" t="e">
        <f>VLOOKUP(C437,CHEGADA!A:B,2,FALSE)</f>
        <v>#N/A</v>
      </c>
    </row>
    <row r="438" spans="4:10">
      <c r="D438" s="2" t="str">
        <f>IFERROR(LEFT(Tabela1[[#This Row],[N°S]],LEN(Tabela1[[#This Row],[N°S]])-1),"")</f>
        <v/>
      </c>
      <c r="E438" s="1" t="str" cm="1">
        <f t="array" ref="E438">IFERROR(time_diff_cor(Tabela1[[#This Row],[Largada]],Tabela1[[#This Row],[Chegada]]),"00:20:00:000")</f>
        <v>00:20:00:000</v>
      </c>
      <c r="G438" s="1" t="str" cm="1">
        <f t="array" ref="G438">IF(Tabela1[[#This Row],[N°S]]="","NONE",IF(Tabela1[[#This Row],[N°]]=D437,time_sum(G437,Tabela1[[#This Row],[TEMPO]]),Tabela1[[#This Row],[TEMPO]]))</f>
        <v>NONE</v>
      </c>
      <c r="I438" s="1" t="e">
        <f>VLOOKUP(C438,LARGADA!A:B,2,FALSE)</f>
        <v>#N/A</v>
      </c>
      <c r="J438" s="1" t="e">
        <f>VLOOKUP(C438,CHEGADA!A:B,2,FALSE)</f>
        <v>#N/A</v>
      </c>
    </row>
    <row r="439" spans="4:10">
      <c r="D439" s="2" t="str">
        <f>IFERROR(LEFT(Tabela1[[#This Row],[N°S]],LEN(Tabela1[[#This Row],[N°S]])-1),"")</f>
        <v/>
      </c>
      <c r="E439" s="1" t="str" cm="1">
        <f t="array" ref="E439">IFERROR(time_diff_cor(Tabela1[[#This Row],[Largada]],Tabela1[[#This Row],[Chegada]]),"00:20:00:000")</f>
        <v>00:20:00:000</v>
      </c>
      <c r="G439" s="1" t="str" cm="1">
        <f t="array" ref="G439">IF(Tabela1[[#This Row],[N°S]]="","NONE",IF(Tabela1[[#This Row],[N°]]=D438,time_sum(G438,Tabela1[[#This Row],[TEMPO]]),Tabela1[[#This Row],[TEMPO]]))</f>
        <v>NONE</v>
      </c>
      <c r="I439" s="1" t="e">
        <f>VLOOKUP(C439,LARGADA!A:B,2,FALSE)</f>
        <v>#N/A</v>
      </c>
      <c r="J439" s="1" t="e">
        <f>VLOOKUP(C439,CHEGADA!A:B,2,FALSE)</f>
        <v>#N/A</v>
      </c>
    </row>
    <row r="440" spans="4:10">
      <c r="D440" s="2" t="str">
        <f>IFERROR(LEFT(Tabela1[[#This Row],[N°S]],LEN(Tabela1[[#This Row],[N°S]])-1),"")</f>
        <v/>
      </c>
      <c r="E440" s="1" t="str" cm="1">
        <f t="array" ref="E440">IFERROR(time_diff_cor(Tabela1[[#This Row],[Largada]],Tabela1[[#This Row],[Chegada]]),"00:20:00:000")</f>
        <v>00:20:00:000</v>
      </c>
      <c r="G440" s="1" t="str" cm="1">
        <f t="array" ref="G440">IF(Tabela1[[#This Row],[N°S]]="","NONE",IF(Tabela1[[#This Row],[N°]]=D439,time_sum(G439,Tabela1[[#This Row],[TEMPO]]),Tabela1[[#This Row],[TEMPO]]))</f>
        <v>NONE</v>
      </c>
      <c r="I440" s="1" t="e">
        <f>VLOOKUP(C440,LARGADA!A:B,2,FALSE)</f>
        <v>#N/A</v>
      </c>
      <c r="J440" s="1" t="e">
        <f>VLOOKUP(C440,CHEGADA!A:B,2,FALSE)</f>
        <v>#N/A</v>
      </c>
    </row>
    <row r="441" spans="4:10">
      <c r="D441" s="2" t="str">
        <f>IFERROR(LEFT(Tabela1[[#This Row],[N°S]],LEN(Tabela1[[#This Row],[N°S]])-1),"")</f>
        <v/>
      </c>
      <c r="E441" s="1" t="str" cm="1">
        <f t="array" ref="E441">IFERROR(time_diff_cor(Tabela1[[#This Row],[Largada]],Tabela1[[#This Row],[Chegada]]),"00:20:00:000")</f>
        <v>00:20:00:000</v>
      </c>
      <c r="G441" s="1" t="str" cm="1">
        <f t="array" ref="G441">IF(Tabela1[[#This Row],[N°S]]="","NONE",IF(Tabela1[[#This Row],[N°]]=D440,time_sum(G440,Tabela1[[#This Row],[TEMPO]]),Tabela1[[#This Row],[TEMPO]]))</f>
        <v>NONE</v>
      </c>
      <c r="I441" s="1" t="e">
        <f>VLOOKUP(C441,LARGADA!A:B,2,FALSE)</f>
        <v>#N/A</v>
      </c>
      <c r="J441" s="1" t="e">
        <f>VLOOKUP(C441,CHEGADA!A:B,2,FALSE)</f>
        <v>#N/A</v>
      </c>
    </row>
    <row r="442" spans="4:10">
      <c r="D442" s="2" t="str">
        <f>IFERROR(LEFT(Tabela1[[#This Row],[N°S]],LEN(Tabela1[[#This Row],[N°S]])-1),"")</f>
        <v/>
      </c>
      <c r="E442" s="1" t="str" cm="1">
        <f t="array" ref="E442">IFERROR(time_diff_cor(Tabela1[[#This Row],[Largada]],Tabela1[[#This Row],[Chegada]]),"00:20:00:000")</f>
        <v>00:20:00:000</v>
      </c>
      <c r="G442" s="1" t="str" cm="1">
        <f t="array" ref="G442">IF(Tabela1[[#This Row],[N°S]]="","NONE",IF(Tabela1[[#This Row],[N°]]=D441,time_sum(G441,Tabela1[[#This Row],[TEMPO]]),Tabela1[[#This Row],[TEMPO]]))</f>
        <v>NONE</v>
      </c>
      <c r="I442" s="1" t="e">
        <f>VLOOKUP(C442,LARGADA!A:B,2,FALSE)</f>
        <v>#N/A</v>
      </c>
      <c r="J442" s="1" t="e">
        <f>VLOOKUP(C442,CHEGADA!A:B,2,FALSE)</f>
        <v>#N/A</v>
      </c>
    </row>
    <row r="443" spans="4:10">
      <c r="D443" s="2" t="str">
        <f>IFERROR(LEFT(Tabela1[[#This Row],[N°S]],LEN(Tabela1[[#This Row],[N°S]])-1),"")</f>
        <v/>
      </c>
      <c r="E443" s="1" t="str" cm="1">
        <f t="array" ref="E443">IFERROR(time_diff_cor(Tabela1[[#This Row],[Largada]],Tabela1[[#This Row],[Chegada]]),"00:20:00:000")</f>
        <v>00:20:00:000</v>
      </c>
      <c r="G443" s="1" t="str" cm="1">
        <f t="array" ref="G443">IF(Tabela1[[#This Row],[N°S]]="","NONE",IF(Tabela1[[#This Row],[N°]]=D442,time_sum(G442,Tabela1[[#This Row],[TEMPO]]),Tabela1[[#This Row],[TEMPO]]))</f>
        <v>NONE</v>
      </c>
      <c r="I443" s="1" t="e">
        <f>VLOOKUP(C443,LARGADA!A:B,2,FALSE)</f>
        <v>#N/A</v>
      </c>
      <c r="J443" s="1" t="e">
        <f>VLOOKUP(C443,CHEGADA!A:B,2,FALSE)</f>
        <v>#N/A</v>
      </c>
    </row>
    <row r="444" spans="4:10">
      <c r="D444" s="2" t="str">
        <f>IFERROR(LEFT(Tabela1[[#This Row],[N°S]],LEN(Tabela1[[#This Row],[N°S]])-1),"")</f>
        <v/>
      </c>
      <c r="E444" s="1" t="str" cm="1">
        <f t="array" ref="E444">IFERROR(time_diff_cor(Tabela1[[#This Row],[Largada]],Tabela1[[#This Row],[Chegada]]),"00:20:00:000")</f>
        <v>00:20:00:000</v>
      </c>
      <c r="G444" s="1" t="str" cm="1">
        <f t="array" ref="G444">IF(Tabela1[[#This Row],[N°S]]="","NONE",IF(Tabela1[[#This Row],[N°]]=D443,time_sum(G443,Tabela1[[#This Row],[TEMPO]]),Tabela1[[#This Row],[TEMPO]]))</f>
        <v>NONE</v>
      </c>
      <c r="I444" s="1" t="e">
        <f>VLOOKUP(C444,LARGADA!A:B,2,FALSE)</f>
        <v>#N/A</v>
      </c>
      <c r="J444" s="1" t="e">
        <f>VLOOKUP(C444,CHEGADA!A:B,2,FALSE)</f>
        <v>#N/A</v>
      </c>
    </row>
    <row r="445" spans="4:10">
      <c r="D445" s="2" t="str">
        <f>IFERROR(LEFT(Tabela1[[#This Row],[N°S]],LEN(Tabela1[[#This Row],[N°S]])-1),"")</f>
        <v/>
      </c>
      <c r="E445" s="1" t="str" cm="1">
        <f t="array" ref="E445">IFERROR(time_diff_cor(Tabela1[[#This Row],[Largada]],Tabela1[[#This Row],[Chegada]]),"00:20:00:000")</f>
        <v>00:20:00:000</v>
      </c>
      <c r="G445" s="1" t="str" cm="1">
        <f t="array" ref="G445">IF(Tabela1[[#This Row],[N°S]]="","NONE",IF(Tabela1[[#This Row],[N°]]=D444,time_sum(G444,Tabela1[[#This Row],[TEMPO]]),Tabela1[[#This Row],[TEMPO]]))</f>
        <v>NONE</v>
      </c>
      <c r="I445" s="1" t="e">
        <f>VLOOKUP(C445,LARGADA!A:B,2,FALSE)</f>
        <v>#N/A</v>
      </c>
      <c r="J445" s="1" t="e">
        <f>VLOOKUP(C445,CHEGADA!A:B,2,FALSE)</f>
        <v>#N/A</v>
      </c>
    </row>
    <row r="446" spans="4:10">
      <c r="D446" s="2" t="str">
        <f>IFERROR(LEFT(Tabela1[[#This Row],[N°S]],LEN(Tabela1[[#This Row],[N°S]])-1),"")</f>
        <v/>
      </c>
      <c r="E446" s="1" t="str" cm="1">
        <f t="array" ref="E446">IFERROR(time_diff_cor(Tabela1[[#This Row],[Largada]],Tabela1[[#This Row],[Chegada]]),"00:20:00:000")</f>
        <v>00:20:00:000</v>
      </c>
      <c r="G446" s="1" t="str" cm="1">
        <f t="array" ref="G446">IF(Tabela1[[#This Row],[N°S]]="","NONE",IF(Tabela1[[#This Row],[N°]]=D445,time_sum(G445,Tabela1[[#This Row],[TEMPO]]),Tabela1[[#This Row],[TEMPO]]))</f>
        <v>NONE</v>
      </c>
      <c r="I446" s="1" t="e">
        <f>VLOOKUP(C446,LARGADA!A:B,2,FALSE)</f>
        <v>#N/A</v>
      </c>
      <c r="J446" s="1" t="e">
        <f>VLOOKUP(C446,CHEGADA!A:B,2,FALSE)</f>
        <v>#N/A</v>
      </c>
    </row>
    <row r="447" spans="4:10">
      <c r="D447" s="2" t="str">
        <f>IFERROR(LEFT(Tabela1[[#This Row],[N°S]],LEN(Tabela1[[#This Row],[N°S]])-1),"")</f>
        <v/>
      </c>
      <c r="E447" s="1" t="str" cm="1">
        <f t="array" ref="E447">IFERROR(time_diff_cor(Tabela1[[#This Row],[Largada]],Tabela1[[#This Row],[Chegada]]),"00:20:00:000")</f>
        <v>00:20:00:000</v>
      </c>
      <c r="G447" s="1" t="str" cm="1">
        <f t="array" ref="G447">IF(Tabela1[[#This Row],[N°S]]="","NONE",IF(Tabela1[[#This Row],[N°]]=D446,time_sum(G446,Tabela1[[#This Row],[TEMPO]]),Tabela1[[#This Row],[TEMPO]]))</f>
        <v>NONE</v>
      </c>
      <c r="I447" s="1" t="e">
        <f>VLOOKUP(C447,LARGADA!A:B,2,FALSE)</f>
        <v>#N/A</v>
      </c>
      <c r="J447" s="1" t="e">
        <f>VLOOKUP(C447,CHEGADA!A:B,2,FALSE)</f>
        <v>#N/A</v>
      </c>
    </row>
    <row r="448" spans="4:10">
      <c r="D448" s="2" t="str">
        <f>IFERROR(LEFT(Tabela1[[#This Row],[N°S]],LEN(Tabela1[[#This Row],[N°S]])-1),"")</f>
        <v/>
      </c>
      <c r="E448" s="1" t="str" cm="1">
        <f t="array" ref="E448">IFERROR(time_diff_cor(Tabela1[[#This Row],[Largada]],Tabela1[[#This Row],[Chegada]]),"00:20:00:000")</f>
        <v>00:20:00:000</v>
      </c>
      <c r="G448" s="1" t="str" cm="1">
        <f t="array" ref="G448">IF(Tabela1[[#This Row],[N°S]]="","NONE",IF(Tabela1[[#This Row],[N°]]=D447,time_sum(G447,Tabela1[[#This Row],[TEMPO]]),Tabela1[[#This Row],[TEMPO]]))</f>
        <v>NONE</v>
      </c>
      <c r="I448" s="1" t="e">
        <f>VLOOKUP(C448,LARGADA!A:B,2,FALSE)</f>
        <v>#N/A</v>
      </c>
      <c r="J448" s="1" t="e">
        <f>VLOOKUP(C448,CHEGADA!A:B,2,FALSE)</f>
        <v>#N/A</v>
      </c>
    </row>
    <row r="449" spans="4:10">
      <c r="D449" s="2" t="str">
        <f>IFERROR(LEFT(Tabela1[[#This Row],[N°S]],LEN(Tabela1[[#This Row],[N°S]])-1),"")</f>
        <v/>
      </c>
      <c r="E449" s="1" t="str" cm="1">
        <f t="array" ref="E449">IFERROR(time_diff_cor(Tabela1[[#This Row],[Largada]],Tabela1[[#This Row],[Chegada]]),"00:20:00:000")</f>
        <v>00:20:00:000</v>
      </c>
      <c r="G449" s="1" t="str" cm="1">
        <f t="array" ref="G449">IF(Tabela1[[#This Row],[N°S]]="","NONE",IF(Tabela1[[#This Row],[N°]]=D448,time_sum(G448,Tabela1[[#This Row],[TEMPO]]),Tabela1[[#This Row],[TEMPO]]))</f>
        <v>NONE</v>
      </c>
      <c r="I449" s="1" t="e">
        <f>VLOOKUP(C449,LARGADA!A:B,2,FALSE)</f>
        <v>#N/A</v>
      </c>
      <c r="J449" s="1" t="e">
        <f>VLOOKUP(C449,CHEGADA!A:B,2,FALSE)</f>
        <v>#N/A</v>
      </c>
    </row>
    <row r="450" spans="4:10">
      <c r="D450" s="2" t="str">
        <f>IFERROR(LEFT(Tabela1[[#This Row],[N°S]],LEN(Tabela1[[#This Row],[N°S]])-1),"")</f>
        <v/>
      </c>
      <c r="E450" s="1" t="str" cm="1">
        <f t="array" ref="E450">IFERROR(time_diff_cor(Tabela1[[#This Row],[Largada]],Tabela1[[#This Row],[Chegada]]),"00:20:00:000")</f>
        <v>00:20:00:000</v>
      </c>
      <c r="G450" s="1" t="str" cm="1">
        <f t="array" ref="G450">IF(Tabela1[[#This Row],[N°S]]="","NONE",IF(Tabela1[[#This Row],[N°]]=D449,time_sum(G449,Tabela1[[#This Row],[TEMPO]]),Tabela1[[#This Row],[TEMPO]]))</f>
        <v>NONE</v>
      </c>
      <c r="I450" s="1" t="e">
        <f>VLOOKUP(C450,LARGADA!A:B,2,FALSE)</f>
        <v>#N/A</v>
      </c>
      <c r="J450" s="1" t="e">
        <f>VLOOKUP(C450,CHEGADA!A:B,2,FALSE)</f>
        <v>#N/A</v>
      </c>
    </row>
    <row r="451" spans="4:10">
      <c r="D451" s="2" t="str">
        <f>IFERROR(LEFT(Tabela1[[#This Row],[N°S]],LEN(Tabela1[[#This Row],[N°S]])-1),"")</f>
        <v/>
      </c>
      <c r="E451" s="1" t="str" cm="1">
        <f t="array" ref="E451">IFERROR(time_diff_cor(Tabela1[[#This Row],[Largada]],Tabela1[[#This Row],[Chegada]]),"00:20:00:000")</f>
        <v>00:20:00:000</v>
      </c>
      <c r="G451" s="1" t="str" cm="1">
        <f t="array" ref="G451">IF(Tabela1[[#This Row],[N°S]]="","NONE",IF(Tabela1[[#This Row],[N°]]=D450,time_sum(G450,Tabela1[[#This Row],[TEMPO]]),Tabela1[[#This Row],[TEMPO]]))</f>
        <v>NONE</v>
      </c>
      <c r="I451" s="1" t="e">
        <f>VLOOKUP(C451,LARGADA!A:B,2,FALSE)</f>
        <v>#N/A</v>
      </c>
      <c r="J451" s="1" t="e">
        <f>VLOOKUP(C451,CHEGADA!A:B,2,FALSE)</f>
        <v>#N/A</v>
      </c>
    </row>
    <row r="452" spans="4:10">
      <c r="D452" s="2" t="str">
        <f>IFERROR(LEFT(Tabela1[[#This Row],[N°S]],LEN(Tabela1[[#This Row],[N°S]])-1),"")</f>
        <v/>
      </c>
      <c r="E452" s="1" t="str" cm="1">
        <f t="array" ref="E452">IFERROR(time_diff_cor(Tabela1[[#This Row],[Largada]],Tabela1[[#This Row],[Chegada]]),"00:20:00:000")</f>
        <v>00:20:00:000</v>
      </c>
      <c r="G452" s="1" t="str" cm="1">
        <f t="array" ref="G452">IF(Tabela1[[#This Row],[N°S]]="","NONE",IF(Tabela1[[#This Row],[N°]]=D451,time_sum(G451,Tabela1[[#This Row],[TEMPO]]),Tabela1[[#This Row],[TEMPO]]))</f>
        <v>NONE</v>
      </c>
      <c r="I452" s="1" t="e">
        <f>VLOOKUP(C452,LARGADA!A:B,2,FALSE)</f>
        <v>#N/A</v>
      </c>
      <c r="J452" s="1" t="e">
        <f>VLOOKUP(C452,CHEGADA!A:B,2,FALSE)</f>
        <v>#N/A</v>
      </c>
    </row>
    <row r="453" spans="4:10">
      <c r="D453" s="2" t="str">
        <f>IFERROR(LEFT(Tabela1[[#This Row],[N°S]],LEN(Tabela1[[#This Row],[N°S]])-1),"")</f>
        <v/>
      </c>
      <c r="E453" s="1" t="str" cm="1">
        <f t="array" ref="E453">IFERROR(time_diff_cor(Tabela1[[#This Row],[Largada]],Tabela1[[#This Row],[Chegada]]),"00:20:00:000")</f>
        <v>00:20:00:000</v>
      </c>
      <c r="G453" s="1" t="str" cm="1">
        <f t="array" ref="G453">IF(Tabela1[[#This Row],[N°S]]="","NONE",IF(Tabela1[[#This Row],[N°]]=D452,time_sum(G452,Tabela1[[#This Row],[TEMPO]]),Tabela1[[#This Row],[TEMPO]]))</f>
        <v>NONE</v>
      </c>
      <c r="I453" s="1" t="e">
        <f>VLOOKUP(C453,LARGADA!A:B,2,FALSE)</f>
        <v>#N/A</v>
      </c>
      <c r="J453" s="1" t="e">
        <f>VLOOKUP(C453,CHEGADA!A:B,2,FALSE)</f>
        <v>#N/A</v>
      </c>
    </row>
    <row r="454" spans="4:10">
      <c r="D454" s="2" t="str">
        <f>IFERROR(LEFT(Tabela1[[#This Row],[N°S]],LEN(Tabela1[[#This Row],[N°S]])-1),"")</f>
        <v/>
      </c>
      <c r="E454" s="1" t="str" cm="1">
        <f t="array" ref="E454">IFERROR(time_diff_cor(Tabela1[[#This Row],[Largada]],Tabela1[[#This Row],[Chegada]]),"00:20:00:000")</f>
        <v>00:20:00:000</v>
      </c>
      <c r="G454" s="1" t="str" cm="1">
        <f t="array" ref="G454">IF(Tabela1[[#This Row],[N°S]]="","NONE",IF(Tabela1[[#This Row],[N°]]=D453,time_sum(G453,Tabela1[[#This Row],[TEMPO]]),Tabela1[[#This Row],[TEMPO]]))</f>
        <v>NONE</v>
      </c>
      <c r="I454" s="1" t="e">
        <f>VLOOKUP(C454,LARGADA!A:B,2,FALSE)</f>
        <v>#N/A</v>
      </c>
      <c r="J454" s="1" t="e">
        <f>VLOOKUP(C454,CHEGADA!A:B,2,FALSE)</f>
        <v>#N/A</v>
      </c>
    </row>
    <row r="455" spans="4:10">
      <c r="D455" s="2" t="str">
        <f>IFERROR(LEFT(Tabela1[[#This Row],[N°S]],LEN(Tabela1[[#This Row],[N°S]])-1),"")</f>
        <v/>
      </c>
      <c r="E455" s="1" t="str" cm="1">
        <f t="array" ref="E455">IFERROR(time_diff_cor(Tabela1[[#This Row],[Largada]],Tabela1[[#This Row],[Chegada]]),"00:20:00:000")</f>
        <v>00:20:00:000</v>
      </c>
      <c r="G455" s="1" t="str" cm="1">
        <f t="array" ref="G455">IF(Tabela1[[#This Row],[N°S]]="","NONE",IF(Tabela1[[#This Row],[N°]]=D454,time_sum(G454,Tabela1[[#This Row],[TEMPO]]),Tabela1[[#This Row],[TEMPO]]))</f>
        <v>NONE</v>
      </c>
      <c r="I455" s="1" t="e">
        <f>VLOOKUP(C455,LARGADA!A:B,2,FALSE)</f>
        <v>#N/A</v>
      </c>
      <c r="J455" s="1" t="e">
        <f>VLOOKUP(C455,CHEGADA!A:B,2,FALSE)</f>
        <v>#N/A</v>
      </c>
    </row>
    <row r="456" spans="4:10">
      <c r="D456" s="2" t="str">
        <f>IFERROR(LEFT(Tabela1[[#This Row],[N°S]],LEN(Tabela1[[#This Row],[N°S]])-1),"")</f>
        <v/>
      </c>
      <c r="E456" s="1" t="str" cm="1">
        <f t="array" ref="E456">IFERROR(time_diff_cor(Tabela1[[#This Row],[Largada]],Tabela1[[#This Row],[Chegada]]),"00:20:00:000")</f>
        <v>00:20:00:000</v>
      </c>
      <c r="G456" s="1" t="str" cm="1">
        <f t="array" ref="G456">IF(Tabela1[[#This Row],[N°S]]="","NONE",IF(Tabela1[[#This Row],[N°]]=D455,time_sum(G455,Tabela1[[#This Row],[TEMPO]]),Tabela1[[#This Row],[TEMPO]]))</f>
        <v>NONE</v>
      </c>
      <c r="I456" s="1" t="e">
        <f>VLOOKUP(C456,LARGADA!A:B,2,FALSE)</f>
        <v>#N/A</v>
      </c>
      <c r="J456" s="1" t="e">
        <f>VLOOKUP(C456,CHEGADA!A:B,2,FALSE)</f>
        <v>#N/A</v>
      </c>
    </row>
    <row r="457" spans="4:10">
      <c r="D457" s="2" t="str">
        <f>IFERROR(LEFT(Tabela1[[#This Row],[N°S]],LEN(Tabela1[[#This Row],[N°S]])-1),"")</f>
        <v/>
      </c>
      <c r="E457" s="1" t="str" cm="1">
        <f t="array" ref="E457">IFERROR(time_diff_cor(Tabela1[[#This Row],[Largada]],Tabela1[[#This Row],[Chegada]]),"00:20:00:000")</f>
        <v>00:20:00:000</v>
      </c>
      <c r="G457" s="1" t="str" cm="1">
        <f t="array" ref="G457">IF(Tabela1[[#This Row],[N°S]]="","NONE",IF(Tabela1[[#This Row],[N°]]=D456,time_sum(G456,Tabela1[[#This Row],[TEMPO]]),Tabela1[[#This Row],[TEMPO]]))</f>
        <v>NONE</v>
      </c>
      <c r="I457" s="1" t="e">
        <f>VLOOKUP(C457,LARGADA!A:B,2,FALSE)</f>
        <v>#N/A</v>
      </c>
      <c r="J457" s="1" t="e">
        <f>VLOOKUP(C457,CHEGADA!A:B,2,FALSE)</f>
        <v>#N/A</v>
      </c>
    </row>
    <row r="458" spans="4:10">
      <c r="D458" s="2" t="str">
        <f>IFERROR(LEFT(Tabela1[[#This Row],[N°S]],LEN(Tabela1[[#This Row],[N°S]])-1),"")</f>
        <v/>
      </c>
      <c r="E458" s="1" t="str" cm="1">
        <f t="array" ref="E458">IFERROR(time_diff_cor(Tabela1[[#This Row],[Largada]],Tabela1[[#This Row],[Chegada]]),"00:20:00:000")</f>
        <v>00:20:00:000</v>
      </c>
      <c r="G458" s="1" t="str" cm="1">
        <f t="array" ref="G458">IF(Tabela1[[#This Row],[N°S]]="","NONE",IF(Tabela1[[#This Row],[N°]]=D457,time_sum(G457,Tabela1[[#This Row],[TEMPO]]),Tabela1[[#This Row],[TEMPO]]))</f>
        <v>NONE</v>
      </c>
      <c r="I458" s="1" t="e">
        <f>VLOOKUP(C458,LARGADA!A:B,2,FALSE)</f>
        <v>#N/A</v>
      </c>
      <c r="J458" s="1" t="e">
        <f>VLOOKUP(C458,CHEGADA!A:B,2,FALSE)</f>
        <v>#N/A</v>
      </c>
    </row>
    <row r="459" spans="4:10">
      <c r="D459" s="2" t="str">
        <f>IFERROR(LEFT(Tabela1[[#This Row],[N°S]],LEN(Tabela1[[#This Row],[N°S]])-1),"")</f>
        <v/>
      </c>
      <c r="E459" s="1" t="str" cm="1">
        <f t="array" ref="E459">IFERROR(time_diff_cor(Tabela1[[#This Row],[Largada]],Tabela1[[#This Row],[Chegada]]),"00:20:00:000")</f>
        <v>00:20:00:000</v>
      </c>
      <c r="G459" s="1" t="str" cm="1">
        <f t="array" ref="G459">IF(Tabela1[[#This Row],[N°S]]="","NONE",IF(Tabela1[[#This Row],[N°]]=D458,time_sum(G458,Tabela1[[#This Row],[TEMPO]]),Tabela1[[#This Row],[TEMPO]]))</f>
        <v>NONE</v>
      </c>
      <c r="I459" s="1" t="e">
        <f>VLOOKUP(C459,LARGADA!A:B,2,FALSE)</f>
        <v>#N/A</v>
      </c>
      <c r="J459" s="1" t="e">
        <f>VLOOKUP(C459,CHEGADA!A:B,2,FALSE)</f>
        <v>#N/A</v>
      </c>
    </row>
    <row r="460" spans="4:10">
      <c r="D460" s="2" t="str">
        <f>IFERROR(LEFT(Tabela1[[#This Row],[N°S]],LEN(Tabela1[[#This Row],[N°S]])-1),"")</f>
        <v/>
      </c>
      <c r="E460" s="1" t="str" cm="1">
        <f t="array" ref="E460">IFERROR(time_diff_cor(Tabela1[[#This Row],[Largada]],Tabela1[[#This Row],[Chegada]]),"00:20:00:000")</f>
        <v>00:20:00:000</v>
      </c>
      <c r="G460" s="1" t="str" cm="1">
        <f t="array" ref="G460">IF(Tabela1[[#This Row],[N°S]]="","NONE",IF(Tabela1[[#This Row],[N°]]=D459,time_sum(G459,Tabela1[[#This Row],[TEMPO]]),Tabela1[[#This Row],[TEMPO]]))</f>
        <v>NONE</v>
      </c>
      <c r="I460" s="1" t="e">
        <f>VLOOKUP(C460,LARGADA!A:B,2,FALSE)</f>
        <v>#N/A</v>
      </c>
      <c r="J460" s="1" t="e">
        <f>VLOOKUP(C460,CHEGADA!A:B,2,FALSE)</f>
        <v>#N/A</v>
      </c>
    </row>
    <row r="461" spans="4:10">
      <c r="D461" s="2" t="str">
        <f>IFERROR(LEFT(Tabela1[[#This Row],[N°S]],LEN(Tabela1[[#This Row],[N°S]])-1),"")</f>
        <v/>
      </c>
      <c r="E461" s="1" t="str" cm="1">
        <f t="array" ref="E461">IFERROR(time_diff_cor(Tabela1[[#This Row],[Largada]],Tabela1[[#This Row],[Chegada]]),"00:20:00:000")</f>
        <v>00:20:00:000</v>
      </c>
      <c r="G461" s="1" t="str" cm="1">
        <f t="array" ref="G461">IF(Tabela1[[#This Row],[N°S]]="","NONE",IF(Tabela1[[#This Row],[N°]]=D460,time_sum(G460,Tabela1[[#This Row],[TEMPO]]),Tabela1[[#This Row],[TEMPO]]))</f>
        <v>NONE</v>
      </c>
      <c r="I461" s="1" t="e">
        <f>VLOOKUP(C461,LARGADA!A:B,2,FALSE)</f>
        <v>#N/A</v>
      </c>
      <c r="J461" s="1" t="e">
        <f>VLOOKUP(C461,CHEGADA!A:B,2,FALSE)</f>
        <v>#N/A</v>
      </c>
    </row>
    <row r="462" spans="4:10">
      <c r="D462" s="2" t="str">
        <f>IFERROR(LEFT(Tabela1[[#This Row],[N°S]],LEN(Tabela1[[#This Row],[N°S]])-1),"")</f>
        <v/>
      </c>
      <c r="E462" s="1" t="str" cm="1">
        <f t="array" ref="E462">IFERROR(time_diff_cor(Tabela1[[#This Row],[Largada]],Tabela1[[#This Row],[Chegada]]),"00:20:00:000")</f>
        <v>00:20:00:000</v>
      </c>
      <c r="G462" s="1" t="str" cm="1">
        <f t="array" ref="G462">IF(Tabela1[[#This Row],[N°S]]="","NONE",IF(Tabela1[[#This Row],[N°]]=D461,time_sum(G461,Tabela1[[#This Row],[TEMPO]]),Tabela1[[#This Row],[TEMPO]]))</f>
        <v>NONE</v>
      </c>
      <c r="I462" s="1" t="e">
        <f>VLOOKUP(C462,LARGADA!A:B,2,FALSE)</f>
        <v>#N/A</v>
      </c>
      <c r="J462" s="1" t="e">
        <f>VLOOKUP(C462,CHEGADA!A:B,2,FALSE)</f>
        <v>#N/A</v>
      </c>
    </row>
    <row r="463" spans="4:10">
      <c r="D463" s="2" t="str">
        <f>IFERROR(LEFT(Tabela1[[#This Row],[N°S]],LEN(Tabela1[[#This Row],[N°S]])-1),"")</f>
        <v/>
      </c>
      <c r="E463" s="1" t="str" cm="1">
        <f t="array" ref="E463">IFERROR(time_diff_cor(Tabela1[[#This Row],[Largada]],Tabela1[[#This Row],[Chegada]]),"00:20:00:000")</f>
        <v>00:20:00:000</v>
      </c>
      <c r="G463" s="1" t="str" cm="1">
        <f t="array" ref="G463">IF(Tabela1[[#This Row],[N°S]]="","NONE",IF(Tabela1[[#This Row],[N°]]=D462,time_sum(G462,Tabela1[[#This Row],[TEMPO]]),Tabela1[[#This Row],[TEMPO]]))</f>
        <v>NONE</v>
      </c>
      <c r="I463" s="1" t="e">
        <f>VLOOKUP(C463,LARGADA!A:B,2,FALSE)</f>
        <v>#N/A</v>
      </c>
      <c r="J463" s="1" t="e">
        <f>VLOOKUP(C463,CHEGADA!A:B,2,FALSE)</f>
        <v>#N/A</v>
      </c>
    </row>
    <row r="464" spans="4:10">
      <c r="D464" s="2" t="str">
        <f>IFERROR(LEFT(Tabela1[[#This Row],[N°S]],LEN(Tabela1[[#This Row],[N°S]])-1),"")</f>
        <v/>
      </c>
      <c r="E464" s="1" t="str" cm="1">
        <f t="array" ref="E464">IFERROR(time_diff_cor(Tabela1[[#This Row],[Largada]],Tabela1[[#This Row],[Chegada]]),"00:20:00:000")</f>
        <v>00:20:00:000</v>
      </c>
      <c r="G464" s="1" t="str" cm="1">
        <f t="array" ref="G464">IF(Tabela1[[#This Row],[N°S]]="","NONE",IF(Tabela1[[#This Row],[N°]]=D463,time_sum(G463,Tabela1[[#This Row],[TEMPO]]),Tabela1[[#This Row],[TEMPO]]))</f>
        <v>NONE</v>
      </c>
      <c r="I464" s="1" t="e">
        <f>VLOOKUP(C464,LARGADA!A:B,2,FALSE)</f>
        <v>#N/A</v>
      </c>
      <c r="J464" s="1" t="e">
        <f>VLOOKUP(C464,CHEGADA!A:B,2,FALSE)</f>
        <v>#N/A</v>
      </c>
    </row>
    <row r="465" spans="4:10">
      <c r="D465" s="2" t="str">
        <f>IFERROR(LEFT(Tabela1[[#This Row],[N°S]],LEN(Tabela1[[#This Row],[N°S]])-1),"")</f>
        <v/>
      </c>
      <c r="E465" s="1" t="str" cm="1">
        <f t="array" ref="E465">IFERROR(time_diff_cor(Tabela1[[#This Row],[Largada]],Tabela1[[#This Row],[Chegada]]),"00:20:00:000")</f>
        <v>00:20:00:000</v>
      </c>
      <c r="G465" s="1" t="str" cm="1">
        <f t="array" ref="G465">IF(Tabela1[[#This Row],[N°S]]="","NONE",IF(Tabela1[[#This Row],[N°]]=D464,time_sum(G464,Tabela1[[#This Row],[TEMPO]]),Tabela1[[#This Row],[TEMPO]]))</f>
        <v>NONE</v>
      </c>
      <c r="I465" s="1" t="e">
        <f>VLOOKUP(C465,LARGADA!A:B,2,FALSE)</f>
        <v>#N/A</v>
      </c>
      <c r="J465" s="1" t="e">
        <f>VLOOKUP(C465,CHEGADA!A:B,2,FALSE)</f>
        <v>#N/A</v>
      </c>
    </row>
    <row r="466" spans="4:10">
      <c r="D466" s="2" t="str">
        <f>IFERROR(LEFT(Tabela1[[#This Row],[N°S]],LEN(Tabela1[[#This Row],[N°S]])-1),"")</f>
        <v/>
      </c>
      <c r="E466" s="1" t="str" cm="1">
        <f t="array" ref="E466">IFERROR(time_diff_cor(Tabela1[[#This Row],[Largada]],Tabela1[[#This Row],[Chegada]]),"00:20:00:000")</f>
        <v>00:20:00:000</v>
      </c>
      <c r="G466" s="1" t="str" cm="1">
        <f t="array" ref="G466">IF(Tabela1[[#This Row],[N°S]]="","NONE",IF(Tabela1[[#This Row],[N°]]=D465,time_sum(G465,Tabela1[[#This Row],[TEMPO]]),Tabela1[[#This Row],[TEMPO]]))</f>
        <v>NONE</v>
      </c>
      <c r="I466" s="1" t="e">
        <f>VLOOKUP(C466,LARGADA!A:B,2,FALSE)</f>
        <v>#N/A</v>
      </c>
      <c r="J466" s="1" t="e">
        <f>VLOOKUP(C466,CHEGADA!A:B,2,FALSE)</f>
        <v>#N/A</v>
      </c>
    </row>
    <row r="467" spans="4:10">
      <c r="D467" s="2" t="str">
        <f>IFERROR(LEFT(Tabela1[[#This Row],[N°S]],LEN(Tabela1[[#This Row],[N°S]])-1),"")</f>
        <v/>
      </c>
      <c r="E467" s="1" t="str" cm="1">
        <f t="array" ref="E467">IFERROR(time_diff_cor(Tabela1[[#This Row],[Largada]],Tabela1[[#This Row],[Chegada]]),"00:20:00:000")</f>
        <v>00:20:00:000</v>
      </c>
      <c r="G467" s="1" t="str" cm="1">
        <f t="array" ref="G467">IF(Tabela1[[#This Row],[N°S]]="","NONE",IF(Tabela1[[#This Row],[N°]]=D466,time_sum(G466,Tabela1[[#This Row],[TEMPO]]),Tabela1[[#This Row],[TEMPO]]))</f>
        <v>NONE</v>
      </c>
      <c r="I467" s="1" t="e">
        <f>VLOOKUP(C467,LARGADA!A:B,2,FALSE)</f>
        <v>#N/A</v>
      </c>
      <c r="J467" s="1" t="e">
        <f>VLOOKUP(C467,CHEGADA!A:B,2,FALSE)</f>
        <v>#N/A</v>
      </c>
    </row>
    <row r="468" spans="4:10">
      <c r="D468" s="2" t="str">
        <f>IFERROR(LEFT(Tabela1[[#This Row],[N°S]],LEN(Tabela1[[#This Row],[N°S]])-1),"")</f>
        <v/>
      </c>
      <c r="E468" s="1" t="str" cm="1">
        <f t="array" ref="E468">IFERROR(time_diff_cor(Tabela1[[#This Row],[Largada]],Tabela1[[#This Row],[Chegada]]),"00:20:00:000")</f>
        <v>00:20:00:000</v>
      </c>
      <c r="G468" s="1" t="str" cm="1">
        <f t="array" ref="G468">IF(Tabela1[[#This Row],[N°S]]="","NONE",IF(Tabela1[[#This Row],[N°]]=D467,time_sum(G467,Tabela1[[#This Row],[TEMPO]]),Tabela1[[#This Row],[TEMPO]]))</f>
        <v>NONE</v>
      </c>
      <c r="I468" s="1" t="e">
        <f>VLOOKUP(C468,LARGADA!A:B,2,FALSE)</f>
        <v>#N/A</v>
      </c>
      <c r="J468" s="1" t="e">
        <f>VLOOKUP(C468,CHEGADA!A:B,2,FALSE)</f>
        <v>#N/A</v>
      </c>
    </row>
    <row r="469" spans="4:10">
      <c r="D469" s="2" t="str">
        <f>IFERROR(LEFT(Tabela1[[#This Row],[N°S]],LEN(Tabela1[[#This Row],[N°S]])-1),"")</f>
        <v/>
      </c>
      <c r="E469" s="1" t="str" cm="1">
        <f t="array" ref="E469">IFERROR(time_diff_cor(Tabela1[[#This Row],[Largada]],Tabela1[[#This Row],[Chegada]]),"00:20:00:000")</f>
        <v>00:20:00:000</v>
      </c>
      <c r="G469" s="1" t="str" cm="1">
        <f t="array" ref="G469">IF(Tabela1[[#This Row],[N°S]]="","NONE",IF(Tabela1[[#This Row],[N°]]=D468,time_sum(G468,Tabela1[[#This Row],[TEMPO]]),Tabela1[[#This Row],[TEMPO]]))</f>
        <v>NONE</v>
      </c>
      <c r="I469" s="1" t="e">
        <f>VLOOKUP(C469,LARGADA!A:B,2,FALSE)</f>
        <v>#N/A</v>
      </c>
      <c r="J469" s="1" t="e">
        <f>VLOOKUP(C469,CHEGADA!A:B,2,FALSE)</f>
        <v>#N/A</v>
      </c>
    </row>
    <row r="470" spans="4:10">
      <c r="D470" s="2" t="str">
        <f>IFERROR(LEFT(Tabela1[[#This Row],[N°S]],LEN(Tabela1[[#This Row],[N°S]])-1),"")</f>
        <v/>
      </c>
      <c r="E470" s="1" t="str" cm="1">
        <f t="array" ref="E470">IFERROR(time_diff_cor(Tabela1[[#This Row],[Largada]],Tabela1[[#This Row],[Chegada]]),"00:20:00:000")</f>
        <v>00:20:00:000</v>
      </c>
      <c r="G470" s="1" t="str" cm="1">
        <f t="array" ref="G470">IF(Tabela1[[#This Row],[N°S]]="","NONE",IF(Tabela1[[#This Row],[N°]]=D469,time_sum(G469,Tabela1[[#This Row],[TEMPO]]),Tabela1[[#This Row],[TEMPO]]))</f>
        <v>NONE</v>
      </c>
      <c r="I470" s="1" t="e">
        <f>VLOOKUP(C470,LARGADA!A:B,2,FALSE)</f>
        <v>#N/A</v>
      </c>
      <c r="J470" s="1" t="e">
        <f>VLOOKUP(C470,CHEGADA!A:B,2,FALSE)</f>
        <v>#N/A</v>
      </c>
    </row>
    <row r="471" spans="4:10">
      <c r="D471" s="2" t="str">
        <f>IFERROR(LEFT(Tabela1[[#This Row],[N°S]],LEN(Tabela1[[#This Row],[N°S]])-1),"")</f>
        <v/>
      </c>
      <c r="E471" s="1" t="str" cm="1">
        <f t="array" ref="E471">IFERROR(time_diff_cor(Tabela1[[#This Row],[Largada]],Tabela1[[#This Row],[Chegada]]),"00:20:00:000")</f>
        <v>00:20:00:000</v>
      </c>
      <c r="G471" s="1" t="str" cm="1">
        <f t="array" ref="G471">IF(Tabela1[[#This Row],[N°S]]="","NONE",IF(Tabela1[[#This Row],[N°]]=D470,time_sum(G470,Tabela1[[#This Row],[TEMPO]]),Tabela1[[#This Row],[TEMPO]]))</f>
        <v>NONE</v>
      </c>
      <c r="I471" s="1" t="e">
        <f>VLOOKUP(C471,LARGADA!A:B,2,FALSE)</f>
        <v>#N/A</v>
      </c>
      <c r="J471" s="1" t="e">
        <f>VLOOKUP(C471,CHEGADA!A:B,2,FALSE)</f>
        <v>#N/A</v>
      </c>
    </row>
    <row r="472" spans="4:10">
      <c r="D472" s="2" t="str">
        <f>IFERROR(LEFT(Tabela1[[#This Row],[N°S]],LEN(Tabela1[[#This Row],[N°S]])-1),"")</f>
        <v/>
      </c>
      <c r="E472" s="1" t="str" cm="1">
        <f t="array" ref="E472">IFERROR(time_diff_cor(Tabela1[[#This Row],[Largada]],Tabela1[[#This Row],[Chegada]]),"00:20:00:000")</f>
        <v>00:20:00:000</v>
      </c>
      <c r="G472" s="1" t="str" cm="1">
        <f t="array" ref="G472">IF(Tabela1[[#This Row],[N°S]]="","NONE",IF(Tabela1[[#This Row],[N°]]=D471,time_sum(G471,Tabela1[[#This Row],[TEMPO]]),Tabela1[[#This Row],[TEMPO]]))</f>
        <v>NONE</v>
      </c>
      <c r="I472" s="1" t="e">
        <f>VLOOKUP(C472,LARGADA!A:B,2,FALSE)</f>
        <v>#N/A</v>
      </c>
      <c r="J472" s="1" t="e">
        <f>VLOOKUP(C472,CHEGADA!A:B,2,FALSE)</f>
        <v>#N/A</v>
      </c>
    </row>
    <row r="473" spans="4:10">
      <c r="D473" s="2" t="str">
        <f>IFERROR(LEFT(Tabela1[[#This Row],[N°S]],LEN(Tabela1[[#This Row],[N°S]])-1),"")</f>
        <v/>
      </c>
      <c r="E473" s="1" t="str" cm="1">
        <f t="array" ref="E473">IFERROR(time_diff_cor(Tabela1[[#This Row],[Largada]],Tabela1[[#This Row],[Chegada]]),"00:20:00:000")</f>
        <v>00:20:00:000</v>
      </c>
      <c r="G473" s="1" t="str" cm="1">
        <f t="array" ref="G473">IF(Tabela1[[#This Row],[N°S]]="","NONE",IF(Tabela1[[#This Row],[N°]]=D472,time_sum(G472,Tabela1[[#This Row],[TEMPO]]),Tabela1[[#This Row],[TEMPO]]))</f>
        <v>NONE</v>
      </c>
      <c r="I473" s="1" t="e">
        <f>VLOOKUP(C473,LARGADA!A:B,2,FALSE)</f>
        <v>#N/A</v>
      </c>
      <c r="J473" s="1" t="e">
        <f>VLOOKUP(C473,CHEGADA!A:B,2,FALSE)</f>
        <v>#N/A</v>
      </c>
    </row>
    <row r="474" spans="4:10">
      <c r="D474" s="2" t="str">
        <f>IFERROR(LEFT(Tabela1[[#This Row],[N°S]],LEN(Tabela1[[#This Row],[N°S]])-1),"")</f>
        <v/>
      </c>
      <c r="E474" s="1" t="str" cm="1">
        <f t="array" ref="E474">IFERROR(time_diff_cor(Tabela1[[#This Row],[Largada]],Tabela1[[#This Row],[Chegada]]),"00:20:00:000")</f>
        <v>00:20:00:000</v>
      </c>
      <c r="G474" s="1" t="str" cm="1">
        <f t="array" ref="G474">IF(Tabela1[[#This Row],[N°S]]="","NONE",IF(Tabela1[[#This Row],[N°]]=D473,time_sum(G473,Tabela1[[#This Row],[TEMPO]]),Tabela1[[#This Row],[TEMPO]]))</f>
        <v>NONE</v>
      </c>
      <c r="I474" s="1" t="e">
        <f>VLOOKUP(C474,LARGADA!A:B,2,FALSE)</f>
        <v>#N/A</v>
      </c>
      <c r="J474" s="1" t="e">
        <f>VLOOKUP(C474,CHEGADA!A:B,2,FALSE)</f>
        <v>#N/A</v>
      </c>
    </row>
    <row r="475" spans="4:10">
      <c r="D475" s="2" t="str">
        <f>IFERROR(LEFT(Tabela1[[#This Row],[N°S]],LEN(Tabela1[[#This Row],[N°S]])-1),"")</f>
        <v/>
      </c>
      <c r="E475" s="1" t="str" cm="1">
        <f t="array" ref="E475">IFERROR(time_diff_cor(Tabela1[[#This Row],[Largada]],Tabela1[[#This Row],[Chegada]]),"00:20:00:000")</f>
        <v>00:20:00:000</v>
      </c>
      <c r="G475" s="1" t="str" cm="1">
        <f t="array" ref="G475">IF(Tabela1[[#This Row],[N°S]]="","NONE",IF(Tabela1[[#This Row],[N°]]=D474,time_sum(G474,Tabela1[[#This Row],[TEMPO]]),Tabela1[[#This Row],[TEMPO]]))</f>
        <v>NONE</v>
      </c>
      <c r="I475" s="1" t="e">
        <f>VLOOKUP(C475,LARGADA!A:B,2,FALSE)</f>
        <v>#N/A</v>
      </c>
      <c r="J475" s="1" t="e">
        <f>VLOOKUP(C475,CHEGADA!A:B,2,FALSE)</f>
        <v>#N/A</v>
      </c>
    </row>
    <row r="476" spans="4:10">
      <c r="D476" s="2" t="str">
        <f>IFERROR(LEFT(Tabela1[[#This Row],[N°S]],LEN(Tabela1[[#This Row],[N°S]])-1),"")</f>
        <v/>
      </c>
      <c r="E476" s="1" t="str" cm="1">
        <f t="array" ref="E476">IFERROR(time_diff_cor(Tabela1[[#This Row],[Largada]],Tabela1[[#This Row],[Chegada]]),"00:20:00:000")</f>
        <v>00:20:00:000</v>
      </c>
      <c r="G476" s="1" t="str" cm="1">
        <f t="array" ref="G476">IF(Tabela1[[#This Row],[N°S]]="","NONE",IF(Tabela1[[#This Row],[N°]]=D475,time_sum(G475,Tabela1[[#This Row],[TEMPO]]),Tabela1[[#This Row],[TEMPO]]))</f>
        <v>NONE</v>
      </c>
      <c r="I476" s="1" t="e">
        <f>VLOOKUP(C476,LARGADA!A:B,2,FALSE)</f>
        <v>#N/A</v>
      </c>
      <c r="J476" s="1" t="e">
        <f>VLOOKUP(C476,CHEGADA!A:B,2,FALSE)</f>
        <v>#N/A</v>
      </c>
    </row>
    <row r="477" spans="4:10">
      <c r="D477" s="2" t="str">
        <f>IFERROR(LEFT(Tabela1[[#This Row],[N°S]],LEN(Tabela1[[#This Row],[N°S]])-1),"")</f>
        <v/>
      </c>
      <c r="E477" s="1" t="str" cm="1">
        <f t="array" ref="E477">IFERROR(time_diff_cor(Tabela1[[#This Row],[Largada]],Tabela1[[#This Row],[Chegada]]),"00:20:00:000")</f>
        <v>00:20:00:000</v>
      </c>
      <c r="G477" s="1" t="str" cm="1">
        <f t="array" ref="G477">IF(Tabela1[[#This Row],[N°S]]="","NONE",IF(Tabela1[[#This Row],[N°]]=D476,time_sum(G476,Tabela1[[#This Row],[TEMPO]]),Tabela1[[#This Row],[TEMPO]]))</f>
        <v>NONE</v>
      </c>
      <c r="I477" s="1" t="e">
        <f>VLOOKUP(C477,LARGADA!A:B,2,FALSE)</f>
        <v>#N/A</v>
      </c>
      <c r="J477" s="1" t="e">
        <f>VLOOKUP(C477,CHEGADA!A:B,2,FALSE)</f>
        <v>#N/A</v>
      </c>
    </row>
    <row r="478" spans="4:10">
      <c r="D478" s="2" t="str">
        <f>IFERROR(LEFT(Tabela1[[#This Row],[N°S]],LEN(Tabela1[[#This Row],[N°S]])-1),"")</f>
        <v/>
      </c>
      <c r="E478" s="1" t="str" cm="1">
        <f t="array" ref="E478">IFERROR(time_diff_cor(Tabela1[[#This Row],[Largada]],Tabela1[[#This Row],[Chegada]]),"00:20:00:000")</f>
        <v>00:20:00:000</v>
      </c>
      <c r="G478" s="1" t="str" cm="1">
        <f t="array" ref="G478">IF(Tabela1[[#This Row],[N°S]]="","NONE",IF(Tabela1[[#This Row],[N°]]=D477,time_sum(G477,Tabela1[[#This Row],[TEMPO]]),Tabela1[[#This Row],[TEMPO]]))</f>
        <v>NONE</v>
      </c>
      <c r="I478" s="1" t="e">
        <f>VLOOKUP(C478,LARGADA!A:B,2,FALSE)</f>
        <v>#N/A</v>
      </c>
      <c r="J478" s="1" t="e">
        <f>VLOOKUP(C478,CHEGADA!A:B,2,FALSE)</f>
        <v>#N/A</v>
      </c>
    </row>
    <row r="479" spans="4:10">
      <c r="D479" s="2" t="str">
        <f>IFERROR(LEFT(Tabela1[[#This Row],[N°S]],LEN(Tabela1[[#This Row],[N°S]])-1),"")</f>
        <v/>
      </c>
      <c r="E479" s="1" t="str" cm="1">
        <f t="array" ref="E479">IFERROR(time_diff_cor(Tabela1[[#This Row],[Largada]],Tabela1[[#This Row],[Chegada]]),"00:20:00:000")</f>
        <v>00:20:00:000</v>
      </c>
      <c r="G479" s="1" t="str" cm="1">
        <f t="array" ref="G479">IF(Tabela1[[#This Row],[N°S]]="","NONE",IF(Tabela1[[#This Row],[N°]]=D478,time_sum(G478,Tabela1[[#This Row],[TEMPO]]),Tabela1[[#This Row],[TEMPO]]))</f>
        <v>NONE</v>
      </c>
      <c r="I479" s="1" t="e">
        <f>VLOOKUP(C479,LARGADA!A:B,2,FALSE)</f>
        <v>#N/A</v>
      </c>
      <c r="J479" s="1" t="e">
        <f>VLOOKUP(C479,CHEGADA!A:B,2,FALSE)</f>
        <v>#N/A</v>
      </c>
    </row>
    <row r="480" spans="4:10">
      <c r="D480" s="2" t="str">
        <f>IFERROR(LEFT(Tabela1[[#This Row],[N°S]],LEN(Tabela1[[#This Row],[N°S]])-1),"")</f>
        <v/>
      </c>
      <c r="E480" s="1" t="str" cm="1">
        <f t="array" ref="E480">IFERROR(time_diff_cor(Tabela1[[#This Row],[Largada]],Tabela1[[#This Row],[Chegada]]),"00:20:00:000")</f>
        <v>00:20:00:000</v>
      </c>
      <c r="G480" s="1" t="str" cm="1">
        <f t="array" ref="G480">IF(Tabela1[[#This Row],[N°S]]="","NONE",IF(Tabela1[[#This Row],[N°]]=D479,time_sum(G479,Tabela1[[#This Row],[TEMPO]]),Tabela1[[#This Row],[TEMPO]]))</f>
        <v>NONE</v>
      </c>
      <c r="I480" s="1" t="e">
        <f>VLOOKUP(C480,LARGADA!A:B,2,FALSE)</f>
        <v>#N/A</v>
      </c>
      <c r="J480" s="1" t="e">
        <f>VLOOKUP(C480,CHEGADA!A:B,2,FALSE)</f>
        <v>#N/A</v>
      </c>
    </row>
    <row r="481" spans="4:10">
      <c r="D481" s="2" t="str">
        <f>IFERROR(LEFT(Tabela1[[#This Row],[N°S]],LEN(Tabela1[[#This Row],[N°S]])-1),"")</f>
        <v/>
      </c>
      <c r="E481" s="1" t="str" cm="1">
        <f t="array" ref="E481">IFERROR(time_diff_cor(Tabela1[[#This Row],[Largada]],Tabela1[[#This Row],[Chegada]]),"00:20:00:000")</f>
        <v>00:20:00:000</v>
      </c>
      <c r="G481" s="1" t="str" cm="1">
        <f t="array" ref="G481">IF(Tabela1[[#This Row],[N°S]]="","NONE",IF(Tabela1[[#This Row],[N°]]=D480,time_sum(G480,Tabela1[[#This Row],[TEMPO]]),Tabela1[[#This Row],[TEMPO]]))</f>
        <v>NONE</v>
      </c>
      <c r="I481" s="1" t="e">
        <f>VLOOKUP(C481,LARGADA!A:B,2,FALSE)</f>
        <v>#N/A</v>
      </c>
      <c r="J481" s="1" t="e">
        <f>VLOOKUP(C481,CHEGADA!A:B,2,FALSE)</f>
        <v>#N/A</v>
      </c>
    </row>
    <row r="482" spans="4:10">
      <c r="D482" s="2" t="str">
        <f>IFERROR(LEFT(Tabela1[[#This Row],[N°S]],LEN(Tabela1[[#This Row],[N°S]])-1),"")</f>
        <v/>
      </c>
      <c r="E482" s="1" t="str" cm="1">
        <f t="array" ref="E482">IFERROR(time_diff_cor(Tabela1[[#This Row],[Largada]],Tabela1[[#This Row],[Chegada]]),"00:20:00:000")</f>
        <v>00:20:00:000</v>
      </c>
      <c r="G482" s="1" t="str" cm="1">
        <f t="array" ref="G482">IF(Tabela1[[#This Row],[N°S]]="","NONE",IF(Tabela1[[#This Row],[N°]]=D481,time_sum(G481,Tabela1[[#This Row],[TEMPO]]),Tabela1[[#This Row],[TEMPO]]))</f>
        <v>NONE</v>
      </c>
      <c r="I482" s="1" t="e">
        <f>VLOOKUP(C482,LARGADA!A:B,2,FALSE)</f>
        <v>#N/A</v>
      </c>
      <c r="J482" s="1" t="e">
        <f>VLOOKUP(C482,CHEGADA!A:B,2,FALSE)</f>
        <v>#N/A</v>
      </c>
    </row>
    <row r="483" spans="4:10">
      <c r="D483" s="2" t="str">
        <f>IFERROR(LEFT(Tabela1[[#This Row],[N°S]],LEN(Tabela1[[#This Row],[N°S]])-1),"")</f>
        <v/>
      </c>
      <c r="E483" s="1" t="str" cm="1">
        <f t="array" ref="E483">IFERROR(time_diff_cor(Tabela1[[#This Row],[Largada]],Tabela1[[#This Row],[Chegada]]),"00:20:00:000")</f>
        <v>00:20:00:000</v>
      </c>
      <c r="G483" s="1" t="str" cm="1">
        <f t="array" ref="G483">IF(Tabela1[[#This Row],[N°S]]="","NONE",IF(Tabela1[[#This Row],[N°]]=D482,time_sum(G482,Tabela1[[#This Row],[TEMPO]]),Tabela1[[#This Row],[TEMPO]]))</f>
        <v>NONE</v>
      </c>
      <c r="I483" s="1" t="e">
        <f>VLOOKUP(C483,LARGADA!A:B,2,FALSE)</f>
        <v>#N/A</v>
      </c>
      <c r="J483" s="1" t="e">
        <f>VLOOKUP(C483,CHEGADA!A:B,2,FALSE)</f>
        <v>#N/A</v>
      </c>
    </row>
    <row r="484" spans="4:10">
      <c r="D484" s="2" t="str">
        <f>IFERROR(LEFT(Tabela1[[#This Row],[N°S]],LEN(Tabela1[[#This Row],[N°S]])-1),"")</f>
        <v/>
      </c>
      <c r="E484" s="1" t="str" cm="1">
        <f t="array" ref="E484">IFERROR(time_diff_cor(Tabela1[[#This Row],[Largada]],Tabela1[[#This Row],[Chegada]]),"00:20:00:000")</f>
        <v>00:20:00:000</v>
      </c>
      <c r="G484" s="1" t="str" cm="1">
        <f t="array" ref="G484">IF(Tabela1[[#This Row],[N°S]]="","NONE",IF(Tabela1[[#This Row],[N°]]=D483,time_sum(G483,Tabela1[[#This Row],[TEMPO]]),Tabela1[[#This Row],[TEMPO]]))</f>
        <v>NONE</v>
      </c>
      <c r="I484" s="1" t="e">
        <f>VLOOKUP(C484,LARGADA!A:B,2,FALSE)</f>
        <v>#N/A</v>
      </c>
      <c r="J484" s="1" t="e">
        <f>VLOOKUP(C484,CHEGADA!A:B,2,FALSE)</f>
        <v>#N/A</v>
      </c>
    </row>
    <row r="485" spans="4:10">
      <c r="D485" s="2" t="str">
        <f>IFERROR(LEFT(Tabela1[[#This Row],[N°S]],LEN(Tabela1[[#This Row],[N°S]])-1),"")</f>
        <v/>
      </c>
      <c r="E485" s="1" t="str" cm="1">
        <f t="array" ref="E485">IFERROR(time_diff_cor(Tabela1[[#This Row],[Largada]],Tabela1[[#This Row],[Chegada]]),"00:20:00:000")</f>
        <v>00:20:00:000</v>
      </c>
      <c r="G485" s="1" t="str" cm="1">
        <f t="array" ref="G485">IF(Tabela1[[#This Row],[N°S]]="","NONE",IF(Tabela1[[#This Row],[N°]]=D484,time_sum(G484,Tabela1[[#This Row],[TEMPO]]),Tabela1[[#This Row],[TEMPO]]))</f>
        <v>NONE</v>
      </c>
      <c r="I485" s="1" t="e">
        <f>VLOOKUP(C485,LARGADA!A:B,2,FALSE)</f>
        <v>#N/A</v>
      </c>
      <c r="J485" s="1" t="e">
        <f>VLOOKUP(C485,CHEGADA!A:B,2,FALSE)</f>
        <v>#N/A</v>
      </c>
    </row>
    <row r="486" spans="4:10">
      <c r="D486" s="2" t="str">
        <f>IFERROR(LEFT(Tabela1[[#This Row],[N°S]],LEN(Tabela1[[#This Row],[N°S]])-1),"")</f>
        <v/>
      </c>
      <c r="E486" s="1" t="str" cm="1">
        <f t="array" ref="E486">IFERROR(time_diff_cor(Tabela1[[#This Row],[Largada]],Tabela1[[#This Row],[Chegada]]),"00:20:00:000")</f>
        <v>00:20:00:000</v>
      </c>
      <c r="G486" s="1" t="str" cm="1">
        <f t="array" ref="G486">IF(Tabela1[[#This Row],[N°S]]="","NONE",IF(Tabela1[[#This Row],[N°]]=D485,time_sum(G485,Tabela1[[#This Row],[TEMPO]]),Tabela1[[#This Row],[TEMPO]]))</f>
        <v>NONE</v>
      </c>
      <c r="I486" s="1" t="e">
        <f>VLOOKUP(C486,LARGADA!A:B,2,FALSE)</f>
        <v>#N/A</v>
      </c>
      <c r="J486" s="1" t="e">
        <f>VLOOKUP(C486,CHEGADA!A:B,2,FALSE)</f>
        <v>#N/A</v>
      </c>
    </row>
    <row r="487" spans="4:10">
      <c r="D487" s="2" t="str">
        <f>IFERROR(LEFT(Tabela1[[#This Row],[N°S]],LEN(Tabela1[[#This Row],[N°S]])-1),"")</f>
        <v/>
      </c>
      <c r="E487" s="1" t="str" cm="1">
        <f t="array" ref="E487">IFERROR(time_diff_cor(Tabela1[[#This Row],[Largada]],Tabela1[[#This Row],[Chegada]]),"00:20:00:000")</f>
        <v>00:20:00:000</v>
      </c>
      <c r="G487" s="1" t="str" cm="1">
        <f t="array" ref="G487">IF(Tabela1[[#This Row],[N°S]]="","NONE",IF(Tabela1[[#This Row],[N°]]=D486,time_sum(G486,Tabela1[[#This Row],[TEMPO]]),Tabela1[[#This Row],[TEMPO]]))</f>
        <v>NONE</v>
      </c>
      <c r="I487" s="1" t="e">
        <f>VLOOKUP(C487,LARGADA!A:B,2,FALSE)</f>
        <v>#N/A</v>
      </c>
      <c r="J487" s="1" t="e">
        <f>VLOOKUP(C487,CHEGADA!A:B,2,FALSE)</f>
        <v>#N/A</v>
      </c>
    </row>
    <row r="488" spans="4:10">
      <c r="D488" s="2" t="str">
        <f>IFERROR(LEFT(Tabela1[[#This Row],[N°S]],LEN(Tabela1[[#This Row],[N°S]])-1),"")</f>
        <v/>
      </c>
      <c r="E488" s="1" t="str" cm="1">
        <f t="array" ref="E488">IFERROR(time_diff_cor(Tabela1[[#This Row],[Largada]],Tabela1[[#This Row],[Chegada]]),"00:20:00:000")</f>
        <v>00:20:00:000</v>
      </c>
      <c r="G488" s="1" t="str" cm="1">
        <f t="array" ref="G488">IF(Tabela1[[#This Row],[N°S]]="","NONE",IF(Tabela1[[#This Row],[N°]]=D487,time_sum(G487,Tabela1[[#This Row],[TEMPO]]),Tabela1[[#This Row],[TEMPO]]))</f>
        <v>NONE</v>
      </c>
      <c r="I488" s="1" t="e">
        <f>VLOOKUP(C488,LARGADA!A:B,2,FALSE)</f>
        <v>#N/A</v>
      </c>
      <c r="J488" s="1" t="e">
        <f>VLOOKUP(C488,CHEGADA!A:B,2,FALSE)</f>
        <v>#N/A</v>
      </c>
    </row>
    <row r="489" spans="4:10">
      <c r="D489" s="2" t="str">
        <f>IFERROR(LEFT(Tabela1[[#This Row],[N°S]],LEN(Tabela1[[#This Row],[N°S]])-1),"")</f>
        <v/>
      </c>
      <c r="E489" s="1" t="str" cm="1">
        <f t="array" ref="E489">IFERROR(time_diff_cor(Tabela1[[#This Row],[Largada]],Tabela1[[#This Row],[Chegada]]),"00:20:00:000")</f>
        <v>00:20:00:000</v>
      </c>
      <c r="G489" s="1" t="str" cm="1">
        <f t="array" ref="G489">IF(Tabela1[[#This Row],[N°S]]="","NONE",IF(Tabela1[[#This Row],[N°]]=D488,time_sum(G488,Tabela1[[#This Row],[TEMPO]]),Tabela1[[#This Row],[TEMPO]]))</f>
        <v>NONE</v>
      </c>
      <c r="I489" s="1" t="e">
        <f>VLOOKUP(C489,LARGADA!A:B,2,FALSE)</f>
        <v>#N/A</v>
      </c>
      <c r="J489" s="1" t="e">
        <f>VLOOKUP(C489,CHEGADA!A:B,2,FALSE)</f>
        <v>#N/A</v>
      </c>
    </row>
    <row r="490" spans="4:10">
      <c r="D490" s="2" t="str">
        <f>IFERROR(LEFT(Tabela1[[#This Row],[N°S]],LEN(Tabela1[[#This Row],[N°S]])-1),"")</f>
        <v/>
      </c>
      <c r="E490" s="1" t="str" cm="1">
        <f t="array" ref="E490">IFERROR(time_diff_cor(Tabela1[[#This Row],[Largada]],Tabela1[[#This Row],[Chegada]]),"00:20:00:000")</f>
        <v>00:20:00:000</v>
      </c>
      <c r="G490" s="1" t="str" cm="1">
        <f t="array" ref="G490">IF(Tabela1[[#This Row],[N°S]]="","NONE",IF(Tabela1[[#This Row],[N°]]=D489,time_sum(G489,Tabela1[[#This Row],[TEMPO]]),Tabela1[[#This Row],[TEMPO]]))</f>
        <v>NONE</v>
      </c>
      <c r="I490" s="1" t="e">
        <f>VLOOKUP(C490,LARGADA!A:B,2,FALSE)</f>
        <v>#N/A</v>
      </c>
      <c r="J490" s="1" t="e">
        <f>VLOOKUP(C490,CHEGADA!A:B,2,FALSE)</f>
        <v>#N/A</v>
      </c>
    </row>
    <row r="491" spans="4:10">
      <c r="D491" s="2" t="str">
        <f>IFERROR(LEFT(Tabela1[[#This Row],[N°S]],LEN(Tabela1[[#This Row],[N°S]])-1),"")</f>
        <v/>
      </c>
      <c r="E491" s="1" t="str" cm="1">
        <f t="array" ref="E491">IFERROR(time_diff_cor(Tabela1[[#This Row],[Largada]],Tabela1[[#This Row],[Chegada]]),"00:20:00:000")</f>
        <v>00:20:00:000</v>
      </c>
      <c r="G491" s="1" t="str" cm="1">
        <f t="array" ref="G491">IF(Tabela1[[#This Row],[N°S]]="","NONE",IF(Tabela1[[#This Row],[N°]]=D490,time_sum(G490,Tabela1[[#This Row],[TEMPO]]),Tabela1[[#This Row],[TEMPO]]))</f>
        <v>NONE</v>
      </c>
      <c r="I491" s="1" t="e">
        <f>VLOOKUP(C491,LARGADA!A:B,2,FALSE)</f>
        <v>#N/A</v>
      </c>
      <c r="J491" s="1" t="e">
        <f>VLOOKUP(C491,CHEGADA!A:B,2,FALSE)</f>
        <v>#N/A</v>
      </c>
    </row>
    <row r="492" spans="4:10">
      <c r="D492" s="2" t="str">
        <f>IFERROR(LEFT(Tabela1[[#This Row],[N°S]],LEN(Tabela1[[#This Row],[N°S]])-1),"")</f>
        <v/>
      </c>
      <c r="E492" s="1" t="str" cm="1">
        <f t="array" ref="E492">IFERROR(time_diff_cor(Tabela1[[#This Row],[Largada]],Tabela1[[#This Row],[Chegada]]),"00:20:00:000")</f>
        <v>00:20:00:000</v>
      </c>
      <c r="G492" s="1" t="str" cm="1">
        <f t="array" ref="G492">IF(Tabela1[[#This Row],[N°S]]="","NONE",IF(Tabela1[[#This Row],[N°]]=D491,time_sum(G491,Tabela1[[#This Row],[TEMPO]]),Tabela1[[#This Row],[TEMPO]]))</f>
        <v>NONE</v>
      </c>
      <c r="I492" s="1" t="e">
        <f>VLOOKUP(C492,LARGADA!A:B,2,FALSE)</f>
        <v>#N/A</v>
      </c>
      <c r="J492" s="1" t="e">
        <f>VLOOKUP(C492,CHEGADA!A:B,2,FALSE)</f>
        <v>#N/A</v>
      </c>
    </row>
    <row r="493" spans="4:10">
      <c r="D493" s="2" t="str">
        <f>IFERROR(LEFT(Tabela1[[#This Row],[N°S]],LEN(Tabela1[[#This Row],[N°S]])-1),"")</f>
        <v/>
      </c>
      <c r="E493" s="1" t="str" cm="1">
        <f t="array" ref="E493">IFERROR(time_diff_cor(Tabela1[[#This Row],[Largada]],Tabela1[[#This Row],[Chegada]]),"00:20:00:000")</f>
        <v>00:20:00:000</v>
      </c>
      <c r="G493" s="1" t="str" cm="1">
        <f t="array" ref="G493">IF(Tabela1[[#This Row],[N°S]]="","NONE",IF(Tabela1[[#This Row],[N°]]=D492,time_sum(G492,Tabela1[[#This Row],[TEMPO]]),Tabela1[[#This Row],[TEMPO]]))</f>
        <v>NONE</v>
      </c>
      <c r="I493" s="1" t="e">
        <f>VLOOKUP(C493,LARGADA!A:B,2,FALSE)</f>
        <v>#N/A</v>
      </c>
      <c r="J493" s="1" t="e">
        <f>VLOOKUP(C493,CHEGADA!A:B,2,FALSE)</f>
        <v>#N/A</v>
      </c>
    </row>
    <row r="494" spans="4:10">
      <c r="D494" s="2" t="str">
        <f>IFERROR(LEFT(Tabela1[[#This Row],[N°S]],LEN(Tabela1[[#This Row],[N°S]])-1),"")</f>
        <v/>
      </c>
      <c r="E494" s="1" t="str" cm="1">
        <f t="array" ref="E494">IFERROR(time_diff_cor(Tabela1[[#This Row],[Largada]],Tabela1[[#This Row],[Chegada]]),"00:20:00:000")</f>
        <v>00:20:00:000</v>
      </c>
      <c r="G494" s="1" t="str" cm="1">
        <f t="array" ref="G494">IF(Tabela1[[#This Row],[N°S]]="","NONE",IF(Tabela1[[#This Row],[N°]]=D493,time_sum(G493,Tabela1[[#This Row],[TEMPO]]),Tabela1[[#This Row],[TEMPO]]))</f>
        <v>NONE</v>
      </c>
      <c r="I494" s="1" t="e">
        <f>VLOOKUP(C494,LARGADA!A:B,2,FALSE)</f>
        <v>#N/A</v>
      </c>
      <c r="J494" s="1" t="e">
        <f>VLOOKUP(C494,CHEGADA!A:B,2,FALSE)</f>
        <v>#N/A</v>
      </c>
    </row>
    <row r="495" spans="4:10">
      <c r="D495" s="2" t="str">
        <f>IFERROR(LEFT(Tabela1[[#This Row],[N°S]],LEN(Tabela1[[#This Row],[N°S]])-1),"")</f>
        <v/>
      </c>
      <c r="E495" s="1" t="str" cm="1">
        <f t="array" ref="E495">IFERROR(time_diff_cor(Tabela1[[#This Row],[Largada]],Tabela1[[#This Row],[Chegada]]),"00:20:00:000")</f>
        <v>00:20:00:000</v>
      </c>
      <c r="G495" s="1" t="str" cm="1">
        <f t="array" ref="G495">IF(Tabela1[[#This Row],[N°S]]="","NONE",IF(Tabela1[[#This Row],[N°]]=D494,time_sum(G494,Tabela1[[#This Row],[TEMPO]]),Tabela1[[#This Row],[TEMPO]]))</f>
        <v>NONE</v>
      </c>
      <c r="I495" s="1" t="e">
        <f>VLOOKUP(C495,LARGADA!A:B,2,FALSE)</f>
        <v>#N/A</v>
      </c>
      <c r="J495" s="1" t="e">
        <f>VLOOKUP(C495,CHEGADA!A:B,2,FALSE)</f>
        <v>#N/A</v>
      </c>
    </row>
    <row r="496" spans="4:10">
      <c r="D496" s="2" t="str">
        <f>IFERROR(LEFT(Tabela1[[#This Row],[N°S]],LEN(Tabela1[[#This Row],[N°S]])-1),"")</f>
        <v/>
      </c>
      <c r="E496" s="1" t="str" cm="1">
        <f t="array" ref="E496">IFERROR(time_diff_cor(Tabela1[[#This Row],[Largada]],Tabela1[[#This Row],[Chegada]]),"00:20:00:000")</f>
        <v>00:20:00:000</v>
      </c>
      <c r="G496" s="1" t="str" cm="1">
        <f t="array" ref="G496">IF(Tabela1[[#This Row],[N°S]]="","NONE",IF(Tabela1[[#This Row],[N°]]=D495,time_sum(G495,Tabela1[[#This Row],[TEMPO]]),Tabela1[[#This Row],[TEMPO]]))</f>
        <v>NONE</v>
      </c>
      <c r="I496" s="1" t="e">
        <f>VLOOKUP(C496,LARGADA!A:B,2,FALSE)</f>
        <v>#N/A</v>
      </c>
      <c r="J496" s="1" t="e">
        <f>VLOOKUP(C496,CHEGADA!A:B,2,FALSE)</f>
        <v>#N/A</v>
      </c>
    </row>
    <row r="497" spans="4:10">
      <c r="D497" s="2" t="str">
        <f>IFERROR(LEFT(Tabela1[[#This Row],[N°S]],LEN(Tabela1[[#This Row],[N°S]])-1),"")</f>
        <v/>
      </c>
      <c r="E497" s="1" t="str" cm="1">
        <f t="array" ref="E497">IFERROR(time_diff_cor(Tabela1[[#This Row],[Largada]],Tabela1[[#This Row],[Chegada]]),"00:20:00:000")</f>
        <v>00:20:00:000</v>
      </c>
      <c r="G497" s="1" t="str" cm="1">
        <f t="array" ref="G497">IF(Tabela1[[#This Row],[N°S]]="","NONE",IF(Tabela1[[#This Row],[N°]]=D496,time_sum(G496,Tabela1[[#This Row],[TEMPO]]),Tabela1[[#This Row],[TEMPO]]))</f>
        <v>NONE</v>
      </c>
      <c r="I497" s="1" t="e">
        <f>VLOOKUP(C497,LARGADA!A:B,2,FALSE)</f>
        <v>#N/A</v>
      </c>
      <c r="J497" s="1" t="e">
        <f>VLOOKUP(C497,CHEGADA!A:B,2,FALSE)</f>
        <v>#N/A</v>
      </c>
    </row>
    <row r="498" spans="4:10">
      <c r="D498" s="2" t="str">
        <f>IFERROR(LEFT(Tabela1[[#This Row],[N°S]],LEN(Tabela1[[#This Row],[N°S]])-1),"")</f>
        <v/>
      </c>
      <c r="E498" s="1" t="str" cm="1">
        <f t="array" ref="E498">IFERROR(time_diff_cor(Tabela1[[#This Row],[Largada]],Tabela1[[#This Row],[Chegada]]),"00:20:00:000")</f>
        <v>00:20:00:000</v>
      </c>
      <c r="G498" s="1" t="str" cm="1">
        <f t="array" ref="G498">IF(Tabela1[[#This Row],[N°S]]="","NONE",IF(Tabela1[[#This Row],[N°]]=D497,time_sum(G497,Tabela1[[#This Row],[TEMPO]]),Tabela1[[#This Row],[TEMPO]]))</f>
        <v>NONE</v>
      </c>
      <c r="I498" s="1" t="e">
        <f>VLOOKUP(C498,LARGADA!A:B,2,FALSE)</f>
        <v>#N/A</v>
      </c>
      <c r="J498" s="1" t="e">
        <f>VLOOKUP(C498,CHEGADA!A:B,2,FALSE)</f>
        <v>#N/A</v>
      </c>
    </row>
    <row r="499" spans="4:10">
      <c r="D499" s="2" t="str">
        <f>IFERROR(LEFT(Tabela1[[#This Row],[N°S]],LEN(Tabela1[[#This Row],[N°S]])-1),"")</f>
        <v/>
      </c>
      <c r="E499" s="1" t="str" cm="1">
        <f t="array" ref="E499">IFERROR(time_diff_cor(Tabela1[[#This Row],[Largada]],Tabela1[[#This Row],[Chegada]]),"00:20:00:000")</f>
        <v>00:20:00:000</v>
      </c>
      <c r="G499" s="1" t="str" cm="1">
        <f t="array" ref="G499">IF(Tabela1[[#This Row],[N°S]]="","NONE",IF(Tabela1[[#This Row],[N°]]=D498,time_sum(G498,Tabela1[[#This Row],[TEMPO]]),Tabela1[[#This Row],[TEMPO]]))</f>
        <v>NONE</v>
      </c>
      <c r="I499" s="1" t="e">
        <f>VLOOKUP(C499,LARGADA!A:B,2,FALSE)</f>
        <v>#N/A</v>
      </c>
      <c r="J499" s="1" t="e">
        <f>VLOOKUP(C499,CHEGADA!A:B,2,FALSE)</f>
        <v>#N/A</v>
      </c>
    </row>
    <row r="500" spans="4:10">
      <c r="D500" s="2" t="str">
        <f>IFERROR(LEFT(Tabela1[[#This Row],[N°S]],LEN(Tabela1[[#This Row],[N°S]])-1),"")</f>
        <v/>
      </c>
      <c r="E500" s="1" t="str" cm="1">
        <f t="array" ref="E500">IFERROR(time_diff_cor(Tabela1[[#This Row],[Largada]],Tabela1[[#This Row],[Chegada]]),"00:20:00:000")</f>
        <v>00:20:00:000</v>
      </c>
      <c r="G500" s="1" t="str" cm="1">
        <f t="array" ref="G500">IF(Tabela1[[#This Row],[N°S]]="","NONE",IF(Tabela1[[#This Row],[N°]]=D499,time_sum(G499,Tabela1[[#This Row],[TEMPO]]),Tabela1[[#This Row],[TEMPO]]))</f>
        <v>NONE</v>
      </c>
      <c r="I500" s="1" t="e">
        <f>VLOOKUP(C500,LARGADA!A:B,2,FALSE)</f>
        <v>#N/A</v>
      </c>
      <c r="J500" s="1" t="e">
        <f>VLOOKUP(C500,CHEGADA!A:B,2,FALSE)</f>
        <v>#N/A</v>
      </c>
    </row>
    <row r="501" spans="4:10">
      <c r="D501" s="2" t="str">
        <f>IFERROR(LEFT(Tabela1[[#This Row],[N°S]],LEN(Tabela1[[#This Row],[N°S]])-1),"")</f>
        <v/>
      </c>
      <c r="E501" s="1" t="str" cm="1">
        <f t="array" ref="E501">IFERROR(time_diff_cor(Tabela1[[#This Row],[Largada]],Tabela1[[#This Row],[Chegada]]),"00:20:00:000")</f>
        <v>00:20:00:000</v>
      </c>
      <c r="G501" s="1" t="str" cm="1">
        <f t="array" ref="G501">IF(Tabela1[[#This Row],[N°S]]="","NONE",IF(Tabela1[[#This Row],[N°]]=D500,time_sum(G500,Tabela1[[#This Row],[TEMPO]]),Tabela1[[#This Row],[TEMPO]]))</f>
        <v>NONE</v>
      </c>
      <c r="I501" s="1" t="e">
        <f>VLOOKUP(C501,LARGADA!A:B,2,FALSE)</f>
        <v>#N/A</v>
      </c>
      <c r="J501" s="1" t="e">
        <f>VLOOKUP(C501,CHEGADA!A:B,2,FALSE)</f>
        <v>#N/A</v>
      </c>
    </row>
    <row r="502" spans="4:10">
      <c r="D502" s="2" t="str">
        <f>IFERROR(LEFT(Tabela1[[#This Row],[N°S]],LEN(Tabela1[[#This Row],[N°S]])-1),"")</f>
        <v/>
      </c>
      <c r="E502" s="1" t="str" cm="1">
        <f t="array" ref="E502">IFERROR(time_diff_cor(Tabela1[[#This Row],[Largada]],Tabela1[[#This Row],[Chegada]]),"00:20:00:000")</f>
        <v>00:20:00:000</v>
      </c>
      <c r="G502" s="1" t="str" cm="1">
        <f t="array" ref="G502">IF(Tabela1[[#This Row],[N°S]]="","NONE",IF(Tabela1[[#This Row],[N°]]=D501,time_sum(G501,Tabela1[[#This Row],[TEMPO]]),Tabela1[[#This Row],[TEMPO]]))</f>
        <v>NONE</v>
      </c>
      <c r="I502" s="1" t="e">
        <f>VLOOKUP(C502,LARGADA!A:B,2,FALSE)</f>
        <v>#N/A</v>
      </c>
      <c r="J502" s="1" t="e">
        <f>VLOOKUP(C502,CHEGADA!A:B,2,FALSE)</f>
        <v>#N/A</v>
      </c>
    </row>
    <row r="503" spans="4:10">
      <c r="D503" s="2" t="str">
        <f>IFERROR(LEFT(Tabela1[[#This Row],[N°S]],LEN(Tabela1[[#This Row],[N°S]])-1),"")</f>
        <v/>
      </c>
      <c r="E503" s="1" t="str" cm="1">
        <f t="array" ref="E503">IFERROR(time_diff_cor(Tabela1[[#This Row],[Largada]],Tabela1[[#This Row],[Chegada]]),"00:20:00:000")</f>
        <v>00:20:00:000</v>
      </c>
      <c r="G503" s="1" t="str" cm="1">
        <f t="array" ref="G503">IF(Tabela1[[#This Row],[N°S]]="","NONE",IF(Tabela1[[#This Row],[N°]]=D502,time_sum(G502,Tabela1[[#This Row],[TEMPO]]),Tabela1[[#This Row],[TEMPO]]))</f>
        <v>NONE</v>
      </c>
      <c r="I503" s="1" t="e">
        <f>VLOOKUP(C503,LARGADA!A:B,2,FALSE)</f>
        <v>#N/A</v>
      </c>
      <c r="J503" s="1" t="e">
        <f>VLOOKUP(C503,CHEGADA!A:B,2,FALSE)</f>
        <v>#N/A</v>
      </c>
    </row>
    <row r="504" spans="4:10">
      <c r="D504" s="2" t="str">
        <f>IFERROR(LEFT(Tabela1[[#This Row],[N°S]],LEN(Tabela1[[#This Row],[N°S]])-1),"")</f>
        <v/>
      </c>
      <c r="E504" s="1" t="str" cm="1">
        <f t="array" ref="E504">IFERROR(time_diff_cor(Tabela1[[#This Row],[Largada]],Tabela1[[#This Row],[Chegada]]),"00:20:00:000")</f>
        <v>00:20:00:000</v>
      </c>
      <c r="G504" s="1" t="str" cm="1">
        <f t="array" ref="G504">IF(Tabela1[[#This Row],[N°S]]="","NONE",IF(Tabela1[[#This Row],[N°]]=D503,time_sum(G503,Tabela1[[#This Row],[TEMPO]]),Tabela1[[#This Row],[TEMPO]]))</f>
        <v>NONE</v>
      </c>
      <c r="I504" s="1" t="e">
        <f>VLOOKUP(C504,LARGADA!A:B,2,FALSE)</f>
        <v>#N/A</v>
      </c>
      <c r="J504" s="1" t="e">
        <f>VLOOKUP(C504,CHEGADA!A:B,2,FALSE)</f>
        <v>#N/A</v>
      </c>
    </row>
    <row r="505" spans="4:10">
      <c r="D505" s="2" t="str">
        <f>IFERROR(LEFT(Tabela1[[#This Row],[N°S]],LEN(Tabela1[[#This Row],[N°S]])-1),"")</f>
        <v/>
      </c>
      <c r="E505" s="1" t="str" cm="1">
        <f t="array" ref="E505">IFERROR(time_diff_cor(Tabela1[[#This Row],[Largada]],Tabela1[[#This Row],[Chegada]]),"00:20:00:000")</f>
        <v>00:20:00:000</v>
      </c>
      <c r="G505" s="1" t="str" cm="1">
        <f t="array" ref="G505">IF(Tabela1[[#This Row],[N°S]]="","NONE",IF(Tabela1[[#This Row],[N°]]=D504,time_sum(G504,Tabela1[[#This Row],[TEMPO]]),Tabela1[[#This Row],[TEMPO]]))</f>
        <v>NONE</v>
      </c>
      <c r="I505" s="1" t="e">
        <f>VLOOKUP(C505,LARGADA!A:B,2,FALSE)</f>
        <v>#N/A</v>
      </c>
      <c r="J505" s="1" t="e">
        <f>VLOOKUP(C505,CHEGADA!A:B,2,FALSE)</f>
        <v>#N/A</v>
      </c>
    </row>
    <row r="506" spans="4:10">
      <c r="D506" s="2" t="str">
        <f>IFERROR(LEFT(Tabela1[[#This Row],[N°S]],LEN(Tabela1[[#This Row],[N°S]])-1),"")</f>
        <v/>
      </c>
      <c r="E506" s="1" t="str" cm="1">
        <f t="array" ref="E506">IFERROR(time_diff_cor(Tabela1[[#This Row],[Largada]],Tabela1[[#This Row],[Chegada]]),"00:20:00:000")</f>
        <v>00:20:00:000</v>
      </c>
      <c r="G506" s="1" t="str" cm="1">
        <f t="array" ref="G506">IF(Tabela1[[#This Row],[N°S]]="","NONE",IF(Tabela1[[#This Row],[N°]]=D505,time_sum(G505,Tabela1[[#This Row],[TEMPO]]),Tabela1[[#This Row],[TEMPO]]))</f>
        <v>NONE</v>
      </c>
      <c r="I506" s="1" t="e">
        <f>VLOOKUP(C506,LARGADA!A:B,2,FALSE)</f>
        <v>#N/A</v>
      </c>
      <c r="J506" s="1" t="e">
        <f>VLOOKUP(C506,CHEGADA!A:B,2,FALSE)</f>
        <v>#N/A</v>
      </c>
    </row>
    <row r="507" spans="4:10">
      <c r="D507" s="2" t="str">
        <f>IFERROR(LEFT(Tabela1[[#This Row],[N°S]],LEN(Tabela1[[#This Row],[N°S]])-1),"")</f>
        <v/>
      </c>
      <c r="E507" s="1" t="str" cm="1">
        <f t="array" ref="E507">IFERROR(time_diff_cor(Tabela1[[#This Row],[Largada]],Tabela1[[#This Row],[Chegada]]),"00:20:00:000")</f>
        <v>00:20:00:000</v>
      </c>
      <c r="G507" s="1" t="str" cm="1">
        <f t="array" ref="G507">IF(Tabela1[[#This Row],[N°S]]="","NONE",IF(Tabela1[[#This Row],[N°]]=D506,time_sum(G506,Tabela1[[#This Row],[TEMPO]]),Tabela1[[#This Row],[TEMPO]]))</f>
        <v>NONE</v>
      </c>
      <c r="I507" s="1" t="e">
        <f>VLOOKUP(C507,LARGADA!A:B,2,FALSE)</f>
        <v>#N/A</v>
      </c>
      <c r="J507" s="1" t="e">
        <f>VLOOKUP(C507,CHEGADA!A:B,2,FALSE)</f>
        <v>#N/A</v>
      </c>
    </row>
    <row r="508" spans="4:10">
      <c r="D508" s="2" t="str">
        <f>IFERROR(LEFT(Tabela1[[#This Row],[N°S]],LEN(Tabela1[[#This Row],[N°S]])-1),"")</f>
        <v/>
      </c>
      <c r="E508" s="1" t="str" cm="1">
        <f t="array" ref="E508">IFERROR(time_diff_cor(Tabela1[[#This Row],[Largada]],Tabela1[[#This Row],[Chegada]]),"00:20:00:000")</f>
        <v>00:20:00:000</v>
      </c>
      <c r="G508" s="1" t="str" cm="1">
        <f t="array" ref="G508">IF(Tabela1[[#This Row],[N°S]]="","NONE",IF(Tabela1[[#This Row],[N°]]=D507,time_sum(G507,Tabela1[[#This Row],[TEMPO]]),Tabela1[[#This Row],[TEMPO]]))</f>
        <v>NONE</v>
      </c>
      <c r="I508" s="1" t="e">
        <f>VLOOKUP(C508,LARGADA!A:B,2,FALSE)</f>
        <v>#N/A</v>
      </c>
      <c r="J508" s="1" t="e">
        <f>VLOOKUP(C508,CHEGADA!A:B,2,FALSE)</f>
        <v>#N/A</v>
      </c>
    </row>
    <row r="509" spans="4:10">
      <c r="D509" s="2" t="str">
        <f>IFERROR(LEFT(Tabela1[[#This Row],[N°S]],LEN(Tabela1[[#This Row],[N°S]])-1),"")</f>
        <v/>
      </c>
      <c r="E509" s="1" t="str" cm="1">
        <f t="array" ref="E509">IFERROR(time_diff_cor(Tabela1[[#This Row],[Largada]],Tabela1[[#This Row],[Chegada]]),"00:20:00:000")</f>
        <v>00:20:00:000</v>
      </c>
      <c r="G509" s="1" t="str" cm="1">
        <f t="array" ref="G509">IF(Tabela1[[#This Row],[N°S]]="","NONE",IF(Tabela1[[#This Row],[N°]]=D508,time_sum(G508,Tabela1[[#This Row],[TEMPO]]),Tabela1[[#This Row],[TEMPO]]))</f>
        <v>NONE</v>
      </c>
      <c r="I509" s="1" t="e">
        <f>VLOOKUP(C509,LARGADA!A:B,2,FALSE)</f>
        <v>#N/A</v>
      </c>
      <c r="J509" s="1" t="e">
        <f>VLOOKUP(C509,CHEGADA!A:B,2,FALSE)</f>
        <v>#N/A</v>
      </c>
    </row>
    <row r="510" spans="4:10">
      <c r="D510" s="2" t="str">
        <f>IFERROR(LEFT(Tabela1[[#This Row],[N°S]],LEN(Tabela1[[#This Row],[N°S]])-1),"")</f>
        <v/>
      </c>
      <c r="E510" s="1" t="str" cm="1">
        <f t="array" ref="E510">IFERROR(time_diff_cor(Tabela1[[#This Row],[Largada]],Tabela1[[#This Row],[Chegada]]),"00:20:00:000")</f>
        <v>00:20:00:000</v>
      </c>
      <c r="G510" s="1" t="str" cm="1">
        <f t="array" ref="G510">IF(Tabela1[[#This Row],[N°S]]="","NONE",IF(Tabela1[[#This Row],[N°]]=D509,time_sum(G509,Tabela1[[#This Row],[TEMPO]]),Tabela1[[#This Row],[TEMPO]]))</f>
        <v>NONE</v>
      </c>
      <c r="I510" s="1" t="e">
        <f>VLOOKUP(C510,LARGADA!A:B,2,FALSE)</f>
        <v>#N/A</v>
      </c>
      <c r="J510" s="1" t="e">
        <f>VLOOKUP(C510,CHEGADA!A:B,2,FALSE)</f>
        <v>#N/A</v>
      </c>
    </row>
    <row r="511" spans="4:10">
      <c r="D511" s="2" t="str">
        <f>IFERROR(LEFT(Tabela1[[#This Row],[N°S]],LEN(Tabela1[[#This Row],[N°S]])-1),"")</f>
        <v/>
      </c>
      <c r="E511" s="1" t="str" cm="1">
        <f t="array" ref="E511">IFERROR(time_diff_cor(Tabela1[[#This Row],[Largada]],Tabela1[[#This Row],[Chegada]]),"00:20:00:000")</f>
        <v>00:20:00:000</v>
      </c>
      <c r="G511" s="1" t="str" cm="1">
        <f t="array" ref="G511">IF(Tabela1[[#This Row],[N°S]]="","NONE",IF(Tabela1[[#This Row],[N°]]=D510,time_sum(G510,Tabela1[[#This Row],[TEMPO]]),Tabela1[[#This Row],[TEMPO]]))</f>
        <v>NONE</v>
      </c>
      <c r="I511" s="1" t="e">
        <f>VLOOKUP(C511,LARGADA!A:B,2,FALSE)</f>
        <v>#N/A</v>
      </c>
      <c r="J511" s="1" t="e">
        <f>VLOOKUP(C511,CHEGADA!A:B,2,FALSE)</f>
        <v>#N/A</v>
      </c>
    </row>
    <row r="512" spans="4:10">
      <c r="D512" s="2" t="str">
        <f>IFERROR(LEFT(Tabela1[[#This Row],[N°S]],LEN(Tabela1[[#This Row],[N°S]])-1),"")</f>
        <v/>
      </c>
      <c r="E512" s="1" t="str" cm="1">
        <f t="array" ref="E512">IFERROR(time_diff_cor(Tabela1[[#This Row],[Largada]],Tabela1[[#This Row],[Chegada]]),"00:20:00:000")</f>
        <v>00:20:00:000</v>
      </c>
      <c r="G512" s="1" t="str" cm="1">
        <f t="array" ref="G512">IF(Tabela1[[#This Row],[N°S]]="","NONE",IF(Tabela1[[#This Row],[N°]]=D511,time_sum(G511,Tabela1[[#This Row],[TEMPO]]),Tabela1[[#This Row],[TEMPO]]))</f>
        <v>NONE</v>
      </c>
      <c r="I512" s="1" t="e">
        <f>VLOOKUP(C512,LARGADA!A:B,2,FALSE)</f>
        <v>#N/A</v>
      </c>
      <c r="J512" s="1" t="e">
        <f>VLOOKUP(C512,CHEGADA!A:B,2,FALSE)</f>
        <v>#N/A</v>
      </c>
    </row>
    <row r="513" spans="4:10">
      <c r="D513" s="2" t="str">
        <f>IFERROR(LEFT(Tabela1[[#This Row],[N°S]],LEN(Tabela1[[#This Row],[N°S]])-1),"")</f>
        <v/>
      </c>
      <c r="E513" s="1" t="str" cm="1">
        <f t="array" ref="E513">IFERROR(time_diff_cor(Tabela1[[#This Row],[Largada]],Tabela1[[#This Row],[Chegada]]),"00:20:00:000")</f>
        <v>00:20:00:000</v>
      </c>
      <c r="G513" s="1" t="str" cm="1">
        <f t="array" ref="G513">IF(Tabela1[[#This Row],[N°S]]="","NONE",IF(Tabela1[[#This Row],[N°]]=D512,time_sum(G512,Tabela1[[#This Row],[TEMPO]]),Tabela1[[#This Row],[TEMPO]]))</f>
        <v>NONE</v>
      </c>
      <c r="I513" s="1" t="e">
        <f>VLOOKUP(C513,LARGADA!A:B,2,FALSE)</f>
        <v>#N/A</v>
      </c>
      <c r="J513" s="1" t="e">
        <f>VLOOKUP(C513,CHEGADA!A:B,2,FALSE)</f>
        <v>#N/A</v>
      </c>
    </row>
    <row r="514" spans="4:10">
      <c r="D514" s="2" t="str">
        <f>IFERROR(LEFT(Tabela1[[#This Row],[N°S]],LEN(Tabela1[[#This Row],[N°S]])-1),"")</f>
        <v/>
      </c>
      <c r="E514" s="1" t="str" cm="1">
        <f t="array" ref="E514">IFERROR(time_diff_cor(Tabela1[[#This Row],[Largada]],Tabela1[[#This Row],[Chegada]]),"00:20:00:000")</f>
        <v>00:20:00:000</v>
      </c>
      <c r="G514" s="1" t="str" cm="1">
        <f t="array" ref="G514">IF(Tabela1[[#This Row],[N°S]]="","NONE",IF(Tabela1[[#This Row],[N°]]=D513,time_sum(G513,Tabela1[[#This Row],[TEMPO]]),Tabela1[[#This Row],[TEMPO]]))</f>
        <v>NONE</v>
      </c>
      <c r="I514" s="1" t="e">
        <f>VLOOKUP(C514,LARGADA!A:B,2,FALSE)</f>
        <v>#N/A</v>
      </c>
      <c r="J514" s="1" t="e">
        <f>VLOOKUP(C514,CHEGADA!A:B,2,FALSE)</f>
        <v>#N/A</v>
      </c>
    </row>
    <row r="515" spans="4:10">
      <c r="D515" s="2" t="str">
        <f>IFERROR(LEFT(Tabela1[[#This Row],[N°S]],LEN(Tabela1[[#This Row],[N°S]])-1),"")</f>
        <v/>
      </c>
      <c r="E515" s="1" t="str" cm="1">
        <f t="array" ref="E515">IFERROR(time_diff_cor(Tabela1[[#This Row],[Largada]],Tabela1[[#This Row],[Chegada]]),"00:20:00:000")</f>
        <v>00:20:00:000</v>
      </c>
      <c r="G515" s="1" t="str" cm="1">
        <f t="array" ref="G515">IF(Tabela1[[#This Row],[N°S]]="","NONE",IF(Tabela1[[#This Row],[N°]]=D514,time_sum(G514,Tabela1[[#This Row],[TEMPO]]),Tabela1[[#This Row],[TEMPO]]))</f>
        <v>NONE</v>
      </c>
      <c r="I515" s="1" t="e">
        <f>VLOOKUP(C515,LARGADA!A:B,2,FALSE)</f>
        <v>#N/A</v>
      </c>
      <c r="J515" s="1" t="e">
        <f>VLOOKUP(C515,CHEGADA!A:B,2,FALSE)</f>
        <v>#N/A</v>
      </c>
    </row>
    <row r="516" spans="4:10">
      <c r="D516" s="2" t="str">
        <f>IFERROR(LEFT(Tabela1[[#This Row],[N°S]],LEN(Tabela1[[#This Row],[N°S]])-1),"")</f>
        <v/>
      </c>
      <c r="E516" s="1" t="str" cm="1">
        <f t="array" ref="E516">IFERROR(time_diff_cor(Tabela1[[#This Row],[Largada]],Tabela1[[#This Row],[Chegada]]),"00:20:00:000")</f>
        <v>00:20:00:000</v>
      </c>
      <c r="G516" s="1" t="str" cm="1">
        <f t="array" ref="G516">IF(Tabela1[[#This Row],[N°S]]="","NONE",IF(Tabela1[[#This Row],[N°]]=D515,time_sum(G515,Tabela1[[#This Row],[TEMPO]]),Tabela1[[#This Row],[TEMPO]]))</f>
        <v>NONE</v>
      </c>
      <c r="I516" s="1" t="e">
        <f>VLOOKUP(C516,LARGADA!A:B,2,FALSE)</f>
        <v>#N/A</v>
      </c>
      <c r="J516" s="1" t="e">
        <f>VLOOKUP(C516,CHEGADA!A:B,2,FALSE)</f>
        <v>#N/A</v>
      </c>
    </row>
    <row r="517" spans="4:10">
      <c r="D517" s="2" t="str">
        <f>IFERROR(LEFT(Tabela1[[#This Row],[N°S]],LEN(Tabela1[[#This Row],[N°S]])-1),"")</f>
        <v/>
      </c>
      <c r="E517" s="1" t="str" cm="1">
        <f t="array" ref="E517">IFERROR(time_diff_cor(Tabela1[[#This Row],[Largada]],Tabela1[[#This Row],[Chegada]]),"00:20:00:000")</f>
        <v>00:20:00:000</v>
      </c>
      <c r="G517" s="1" t="str" cm="1">
        <f t="array" ref="G517">IF(Tabela1[[#This Row],[N°S]]="","NONE",IF(Tabela1[[#This Row],[N°]]=D516,time_sum(G516,Tabela1[[#This Row],[TEMPO]]),Tabela1[[#This Row],[TEMPO]]))</f>
        <v>NONE</v>
      </c>
      <c r="I517" s="1" t="e">
        <f>VLOOKUP(C517,LARGADA!A:B,2,FALSE)</f>
        <v>#N/A</v>
      </c>
      <c r="J517" s="1" t="e">
        <f>VLOOKUP(C517,CHEGADA!A:B,2,FALSE)</f>
        <v>#N/A</v>
      </c>
    </row>
    <row r="518" spans="4:10">
      <c r="D518" s="2" t="str">
        <f>IFERROR(LEFT(Tabela1[[#This Row],[N°S]],LEN(Tabela1[[#This Row],[N°S]])-1),"")</f>
        <v/>
      </c>
      <c r="E518" s="1" t="str" cm="1">
        <f t="array" ref="E518">IFERROR(time_diff_cor(Tabela1[[#This Row],[Largada]],Tabela1[[#This Row],[Chegada]]),"00:20:00:000")</f>
        <v>00:20:00:000</v>
      </c>
      <c r="G518" s="1" t="str" cm="1">
        <f t="array" ref="G518">IF(Tabela1[[#This Row],[N°S]]="","NONE",IF(Tabela1[[#This Row],[N°]]=D517,time_sum(G517,Tabela1[[#This Row],[TEMPO]]),Tabela1[[#This Row],[TEMPO]]))</f>
        <v>NONE</v>
      </c>
      <c r="I518" s="1" t="e">
        <f>VLOOKUP(C518,LARGADA!A:B,2,FALSE)</f>
        <v>#N/A</v>
      </c>
      <c r="J518" s="1" t="e">
        <f>VLOOKUP(C518,CHEGADA!A:B,2,FALSE)</f>
        <v>#N/A</v>
      </c>
    </row>
    <row r="519" spans="4:10">
      <c r="D519" s="2" t="str">
        <f>IFERROR(LEFT(Tabela1[[#This Row],[N°S]],LEN(Tabela1[[#This Row],[N°S]])-1),"")</f>
        <v/>
      </c>
      <c r="E519" s="1" t="str" cm="1">
        <f t="array" ref="E519">IFERROR(time_diff_cor(Tabela1[[#This Row],[Largada]],Tabela1[[#This Row],[Chegada]]),"00:20:00:000")</f>
        <v>00:20:00:000</v>
      </c>
      <c r="G519" s="1" t="str" cm="1">
        <f t="array" ref="G519">IF(Tabela1[[#This Row],[N°S]]="","NONE",IF(Tabela1[[#This Row],[N°]]=D518,time_sum(G518,Tabela1[[#This Row],[TEMPO]]),Tabela1[[#This Row],[TEMPO]]))</f>
        <v>NONE</v>
      </c>
      <c r="I519" s="1" t="e">
        <f>VLOOKUP(C519,LARGADA!A:B,2,FALSE)</f>
        <v>#N/A</v>
      </c>
      <c r="J519" s="1" t="e">
        <f>VLOOKUP(C519,CHEGADA!A:B,2,FALSE)</f>
        <v>#N/A</v>
      </c>
    </row>
    <row r="520" spans="4:10">
      <c r="D520" s="2" t="str">
        <f>IFERROR(LEFT(Tabela1[[#This Row],[N°S]],LEN(Tabela1[[#This Row],[N°S]])-1),"")</f>
        <v/>
      </c>
      <c r="E520" s="1" t="str" cm="1">
        <f t="array" ref="E520">IFERROR(time_diff_cor(Tabela1[[#This Row],[Largada]],Tabela1[[#This Row],[Chegada]]),"00:20:00:000")</f>
        <v>00:20:00:000</v>
      </c>
      <c r="G520" s="1" t="str" cm="1">
        <f t="array" ref="G520">IF(Tabela1[[#This Row],[N°S]]="","NONE",IF(Tabela1[[#This Row],[N°]]=D519,time_sum(G519,Tabela1[[#This Row],[TEMPO]]),Tabela1[[#This Row],[TEMPO]]))</f>
        <v>NONE</v>
      </c>
      <c r="I520" s="1" t="e">
        <f>VLOOKUP(C520,LARGADA!A:B,2,FALSE)</f>
        <v>#N/A</v>
      </c>
      <c r="J520" s="1" t="e">
        <f>VLOOKUP(C520,CHEGADA!A:B,2,FALSE)</f>
        <v>#N/A</v>
      </c>
    </row>
    <row r="521" spans="4:10">
      <c r="D521" s="2" t="str">
        <f>IFERROR(LEFT(Tabela1[[#This Row],[N°S]],LEN(Tabela1[[#This Row],[N°S]])-1),"")</f>
        <v/>
      </c>
      <c r="E521" s="1" t="str" cm="1">
        <f t="array" ref="E521">IFERROR(time_diff_cor(Tabela1[[#This Row],[Largada]],Tabela1[[#This Row],[Chegada]]),"00:20:00:000")</f>
        <v>00:20:00:000</v>
      </c>
      <c r="G521" s="1" t="str" cm="1">
        <f t="array" ref="G521">IF(Tabela1[[#This Row],[N°S]]="","NONE",IF(Tabela1[[#This Row],[N°]]=D520,time_sum(G520,Tabela1[[#This Row],[TEMPO]]),Tabela1[[#This Row],[TEMPO]]))</f>
        <v>NONE</v>
      </c>
      <c r="I521" s="1" t="e">
        <f>VLOOKUP(C521,LARGADA!A:B,2,FALSE)</f>
        <v>#N/A</v>
      </c>
      <c r="J521" s="1" t="e">
        <f>VLOOKUP(C521,CHEGADA!A:B,2,FALSE)</f>
        <v>#N/A</v>
      </c>
    </row>
    <row r="522" spans="4:10">
      <c r="D522" s="2" t="str">
        <f>IFERROR(LEFT(Tabela1[[#This Row],[N°S]],LEN(Tabela1[[#This Row],[N°S]])-1),"")</f>
        <v/>
      </c>
      <c r="E522" s="1" t="str" cm="1">
        <f t="array" ref="E522">IFERROR(time_diff_cor(Tabela1[[#This Row],[Largada]],Tabela1[[#This Row],[Chegada]]),"00:20:00:000")</f>
        <v>00:20:00:000</v>
      </c>
      <c r="G522" s="1" t="str" cm="1">
        <f t="array" ref="G522">IF(Tabela1[[#This Row],[N°S]]="","NONE",IF(Tabela1[[#This Row],[N°]]=D521,time_sum(G521,Tabela1[[#This Row],[TEMPO]]),Tabela1[[#This Row],[TEMPO]]))</f>
        <v>NONE</v>
      </c>
      <c r="I522" s="1" t="e">
        <f>VLOOKUP(C522,LARGADA!A:B,2,FALSE)</f>
        <v>#N/A</v>
      </c>
      <c r="J522" s="1" t="e">
        <f>VLOOKUP(C522,CHEGADA!A:B,2,FALSE)</f>
        <v>#N/A</v>
      </c>
    </row>
    <row r="523" spans="4:10">
      <c r="D523" s="2" t="str">
        <f>IFERROR(LEFT(Tabela1[[#This Row],[N°S]],LEN(Tabela1[[#This Row],[N°S]])-1),"")</f>
        <v/>
      </c>
      <c r="E523" s="1" t="str" cm="1">
        <f t="array" ref="E523">IFERROR(time_diff_cor(Tabela1[[#This Row],[Largada]],Tabela1[[#This Row],[Chegada]]),"00:20:00:000")</f>
        <v>00:20:00:000</v>
      </c>
      <c r="G523" s="1" t="str" cm="1">
        <f t="array" ref="G523">IF(Tabela1[[#This Row],[N°S]]="","NONE",IF(Tabela1[[#This Row],[N°]]=D522,time_sum(G522,Tabela1[[#This Row],[TEMPO]]),Tabela1[[#This Row],[TEMPO]]))</f>
        <v>NONE</v>
      </c>
      <c r="I523" s="1" t="e">
        <f>VLOOKUP(C523,LARGADA!A:B,2,FALSE)</f>
        <v>#N/A</v>
      </c>
      <c r="J523" s="1" t="e">
        <f>VLOOKUP(C523,CHEGADA!A:B,2,FALSE)</f>
        <v>#N/A</v>
      </c>
    </row>
    <row r="524" spans="4:10">
      <c r="D524" s="2" t="str">
        <f>IFERROR(LEFT(Tabela1[[#This Row],[N°S]],LEN(Tabela1[[#This Row],[N°S]])-1),"")</f>
        <v/>
      </c>
      <c r="E524" s="1" t="str" cm="1">
        <f t="array" ref="E524">IFERROR(time_diff_cor(Tabela1[[#This Row],[Largada]],Tabela1[[#This Row],[Chegada]]),"00:20:00:000")</f>
        <v>00:20:00:000</v>
      </c>
      <c r="G524" s="1" t="str" cm="1">
        <f t="array" ref="G524">IF(Tabela1[[#This Row],[N°S]]="","NONE",IF(Tabela1[[#This Row],[N°]]=D523,time_sum(G523,Tabela1[[#This Row],[TEMPO]]),Tabela1[[#This Row],[TEMPO]]))</f>
        <v>NONE</v>
      </c>
      <c r="I524" s="1" t="e">
        <f>VLOOKUP(C524,LARGADA!A:B,2,FALSE)</f>
        <v>#N/A</v>
      </c>
      <c r="J524" s="1" t="e">
        <f>VLOOKUP(C524,CHEGADA!A:B,2,FALSE)</f>
        <v>#N/A</v>
      </c>
    </row>
    <row r="525" spans="4:10">
      <c r="D525" s="2" t="str">
        <f>IFERROR(LEFT(Tabela1[[#This Row],[N°S]],LEN(Tabela1[[#This Row],[N°S]])-1),"")</f>
        <v/>
      </c>
      <c r="E525" s="1" t="str" cm="1">
        <f t="array" ref="E525">IFERROR(time_diff_cor(Tabela1[[#This Row],[Largada]],Tabela1[[#This Row],[Chegada]]),"00:20:00:000")</f>
        <v>00:20:00:000</v>
      </c>
      <c r="G525" s="1" t="str" cm="1">
        <f t="array" ref="G525">IF(Tabela1[[#This Row],[N°S]]="","NONE",IF(Tabela1[[#This Row],[N°]]=D524,time_sum(G524,Tabela1[[#This Row],[TEMPO]]),Tabela1[[#This Row],[TEMPO]]))</f>
        <v>NONE</v>
      </c>
      <c r="I525" s="1" t="e">
        <f>VLOOKUP(C525,LARGADA!A:B,2,FALSE)</f>
        <v>#N/A</v>
      </c>
      <c r="J525" s="1" t="e">
        <f>VLOOKUP(C525,CHEGADA!A:B,2,FALSE)</f>
        <v>#N/A</v>
      </c>
    </row>
    <row r="526" spans="4:10">
      <c r="D526" s="2" t="str">
        <f>IFERROR(LEFT(Tabela1[[#This Row],[N°S]],LEN(Tabela1[[#This Row],[N°S]])-1),"")</f>
        <v/>
      </c>
      <c r="E526" s="1" t="str" cm="1">
        <f t="array" ref="E526">IFERROR(time_diff_cor(Tabela1[[#This Row],[Largada]],Tabela1[[#This Row],[Chegada]]),"00:20:00:000")</f>
        <v>00:20:00:000</v>
      </c>
      <c r="G526" s="1" t="str" cm="1">
        <f t="array" ref="G526">IF(Tabela1[[#This Row],[N°S]]="","NONE",IF(Tabela1[[#This Row],[N°]]=D525,time_sum(G525,Tabela1[[#This Row],[TEMPO]]),Tabela1[[#This Row],[TEMPO]]))</f>
        <v>NONE</v>
      </c>
      <c r="I526" s="1" t="e">
        <f>VLOOKUP(C526,LARGADA!A:B,2,FALSE)</f>
        <v>#N/A</v>
      </c>
      <c r="J526" s="1" t="e">
        <f>VLOOKUP(C526,CHEGADA!A:B,2,FALSE)</f>
        <v>#N/A</v>
      </c>
    </row>
    <row r="527" spans="4:10">
      <c r="D527" s="2" t="str">
        <f>IFERROR(LEFT(Tabela1[[#This Row],[N°S]],LEN(Tabela1[[#This Row],[N°S]])-1),"")</f>
        <v/>
      </c>
      <c r="E527" s="1" t="str" cm="1">
        <f t="array" ref="E527">IFERROR(time_diff_cor(Tabela1[[#This Row],[Largada]],Tabela1[[#This Row],[Chegada]]),"00:20:00:000")</f>
        <v>00:20:00:000</v>
      </c>
      <c r="G527" s="1" t="str" cm="1">
        <f t="array" ref="G527">IF(Tabela1[[#This Row],[N°S]]="","NONE",IF(Tabela1[[#This Row],[N°]]=D526,time_sum(G526,Tabela1[[#This Row],[TEMPO]]),Tabela1[[#This Row],[TEMPO]]))</f>
        <v>NONE</v>
      </c>
      <c r="I527" s="1" t="e">
        <f>VLOOKUP(C527,LARGADA!A:B,2,FALSE)</f>
        <v>#N/A</v>
      </c>
      <c r="J527" s="1" t="e">
        <f>VLOOKUP(C527,CHEGADA!A:B,2,FALSE)</f>
        <v>#N/A</v>
      </c>
    </row>
  </sheetData>
  <sortState xmlns:xlrd2="http://schemas.microsoft.com/office/spreadsheetml/2017/richdata2" ref="A2:G527">
    <sortCondition ref="D2:D527"/>
  </sortState>
  <phoneticPr fontId="1" type="noConversion"/>
  <printOptions horizontalCentered="1"/>
  <pageMargins left="0" right="0" top="0" bottom="0" header="0" footer="0"/>
  <pageSetup paperSize="256" scale="3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10</xdr:col>
                    <xdr:colOff>464820</xdr:colOff>
                    <xdr:row>1</xdr:row>
                    <xdr:rowOff>7620</xdr:rowOff>
                  </from>
                  <to>
                    <xdr:col>14</xdr:col>
                    <xdr:colOff>243840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ge">
                <anchor moveWithCells="1" sizeWithCells="1">
                  <from>
                    <xdr:col>10</xdr:col>
                    <xdr:colOff>510540</xdr:colOff>
                    <xdr:row>7</xdr:row>
                    <xdr:rowOff>45720</xdr:rowOff>
                  </from>
                  <to>
                    <xdr:col>14</xdr:col>
                    <xdr:colOff>213360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ow_again">
                <anchor moveWithCells="1" sizeWithCells="1">
                  <from>
                    <xdr:col>10</xdr:col>
                    <xdr:colOff>525780</xdr:colOff>
                    <xdr:row>11</xdr:row>
                    <xdr:rowOff>137160</xdr:rowOff>
                  </from>
                  <to>
                    <xdr:col>14</xdr:col>
                    <xdr:colOff>198120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elect_calc">
                <anchor moveWithCells="1" sizeWithCells="1">
                  <from>
                    <xdr:col>10</xdr:col>
                    <xdr:colOff>563880</xdr:colOff>
                    <xdr:row>16</xdr:row>
                    <xdr:rowOff>0</xdr:rowOff>
                  </from>
                  <to>
                    <xdr:col>14</xdr:col>
                    <xdr:colOff>198120</xdr:colOff>
                    <xdr:row>20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Viana, Caio C</cp:lastModifiedBy>
  <cp:lastPrinted>2024-09-29T18:29:20Z</cp:lastPrinted>
  <dcterms:created xsi:type="dcterms:W3CDTF">2022-07-14T00:39:08Z</dcterms:created>
  <dcterms:modified xsi:type="dcterms:W3CDTF">2024-09-30T12:13:53Z</dcterms:modified>
</cp:coreProperties>
</file>