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anacc\Documents\GitHub\FotoRaceTimer\Data_Script\Excel\"/>
    </mc:Choice>
  </mc:AlternateContent>
  <xr:revisionPtr revIDLastSave="0" documentId="13_ncr:1_{DA37E533-375C-415B-91C9-CE62442A87E6}" xr6:coauthVersionLast="47" xr6:coauthVersionMax="47" xr10:uidLastSave="{00000000-0000-0000-0000-000000000000}"/>
  <bookViews>
    <workbookView xWindow="1008" yWindow="-108" windowWidth="22140" windowHeight="13176" activeTab="2" xr2:uid="{09C38C1B-5493-4BD4-B939-ACABA2C61E77}"/>
  </bookViews>
  <sheets>
    <sheet name="LARGADA" sheetId="2" r:id="rId1"/>
    <sheet name="CHEGADA" sheetId="1" r:id="rId2"/>
    <sheet name="RESULTADOS" sheetId="3" r:id="rId3"/>
  </sheets>
  <functionGroups builtInGroupCount="19"/>
  <definedNames>
    <definedName name="_xlnm._FilterDatabase" localSheetId="1" hidden="1">CHEGADA!#REF!</definedName>
    <definedName name="_xlnm._FilterDatabase" localSheetId="0" hidden="1">LARGADA!#REF!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E71" i="3" a="1"/>
  <c r="E143" i="3" a="1"/>
  <c r="E215" i="3" a="1"/>
  <c r="E287" i="3" a="1"/>
  <c r="E359" i="3" a="1"/>
  <c r="E431" i="3" a="1"/>
  <c r="E6" i="3" a="1"/>
  <c r="E78" i="3" a="1"/>
  <c r="E150" i="3" a="1"/>
  <c r="E222" i="3" a="1"/>
  <c r="E294" i="3" a="1"/>
  <c r="E366" i="3" a="1"/>
  <c r="E438" i="3" a="1"/>
  <c r="E13" i="3" a="1"/>
  <c r="E85" i="3" a="1"/>
  <c r="E157" i="3" a="1"/>
  <c r="E229" i="3" a="1"/>
  <c r="E301" i="3" a="1"/>
  <c r="E373" i="3" a="1"/>
  <c r="E445" i="3" a="1"/>
  <c r="E14" i="3" a="1"/>
  <c r="E86" i="3" a="1"/>
  <c r="E158" i="3" a="1"/>
  <c r="E230" i="3" a="1"/>
  <c r="E302" i="3" a="1"/>
  <c r="E374" i="3" a="1"/>
  <c r="E446" i="3" a="1"/>
  <c r="E15" i="3" a="1"/>
  <c r="E87" i="3" a="1"/>
  <c r="E159" i="3" a="1"/>
  <c r="E231" i="3" a="1"/>
  <c r="E303" i="3" a="1"/>
  <c r="E375" i="3" a="1"/>
  <c r="E447" i="3" a="1"/>
  <c r="E22" i="3" a="1"/>
  <c r="E94" i="3" a="1"/>
  <c r="E166" i="3" a="1"/>
  <c r="E238" i="3" a="1"/>
  <c r="E310" i="3" a="1"/>
  <c r="E382" i="3" a="1"/>
  <c r="E454" i="3" a="1"/>
  <c r="E5" i="3" a="1"/>
  <c r="E77" i="3" a="1"/>
  <c r="E149" i="3" a="1"/>
  <c r="E221" i="3" a="1"/>
  <c r="E293" i="3" a="1"/>
  <c r="E365" i="3" a="1"/>
  <c r="E437" i="3" a="1"/>
  <c r="E12" i="3" a="1"/>
  <c r="E84" i="3" a="1"/>
  <c r="E156" i="3" a="1"/>
  <c r="E228" i="3" a="1"/>
  <c r="E300" i="3" a="1"/>
  <c r="E372" i="3" a="1"/>
  <c r="E444" i="3" a="1"/>
  <c r="E19" i="3" a="1"/>
  <c r="E91" i="3" a="1"/>
  <c r="E163" i="3" a="1"/>
  <c r="E235" i="3" a="1"/>
  <c r="E307" i="3" a="1"/>
  <c r="E379" i="3" a="1"/>
  <c r="E451" i="3" a="1"/>
  <c r="E20" i="3" a="1"/>
  <c r="E92" i="3" a="1"/>
  <c r="E164" i="3" a="1"/>
  <c r="E236" i="3" a="1"/>
  <c r="E308" i="3" a="1"/>
  <c r="E380" i="3" a="1"/>
  <c r="E452" i="3" a="1"/>
  <c r="E21" i="3" a="1"/>
  <c r="E93" i="3" a="1"/>
  <c r="E165" i="3" a="1"/>
  <c r="E237" i="3" a="1"/>
  <c r="E309" i="3" a="1"/>
  <c r="E381" i="3" a="1"/>
  <c r="E453" i="3" a="1"/>
  <c r="E28" i="3" a="1"/>
  <c r="E100" i="3" a="1"/>
  <c r="E172" i="3" a="1"/>
  <c r="E244" i="3" a="1"/>
  <c r="E316" i="3" a="1"/>
  <c r="E388" i="3" a="1"/>
  <c r="E460" i="3" a="1"/>
  <c r="E314" i="3" a="1"/>
  <c r="E171" i="3" a="1"/>
  <c r="E315" i="3" a="1"/>
  <c r="E459" i="3" a="1"/>
  <c r="E34" i="3" a="1"/>
  <c r="E178" i="3" a="1"/>
  <c r="E250" i="3" a="1"/>
  <c r="E394" i="3" a="1"/>
  <c r="E466" i="3" a="1"/>
  <c r="E17" i="3" a="1"/>
  <c r="E161" i="3" a="1"/>
  <c r="E305" i="3" a="1"/>
  <c r="E449" i="3" a="1"/>
  <c r="E96" i="3" a="1"/>
  <c r="E240" i="3" a="1"/>
  <c r="E384" i="3" a="1"/>
  <c r="E31" i="3" a="1"/>
  <c r="E175" i="3" a="1"/>
  <c r="E319" i="3" a="1"/>
  <c r="E463" i="3" a="1"/>
  <c r="E104" i="3" a="1"/>
  <c r="E248" i="3" a="1"/>
  <c r="E392" i="3" a="1"/>
  <c r="E33" i="3" a="1"/>
  <c r="E177" i="3" a="1"/>
  <c r="E321" i="3" a="1"/>
  <c r="E465" i="3" a="1"/>
  <c r="E112" i="3" a="1"/>
  <c r="E256" i="3" a="1"/>
  <c r="E400" i="3" a="1"/>
  <c r="E114" i="3" a="1"/>
  <c r="E193" i="3" a="1"/>
  <c r="E409" i="3" a="1"/>
  <c r="E122" i="3" a="1"/>
  <c r="E266" i="3" a="1"/>
  <c r="E482" i="3" a="1"/>
  <c r="E123" i="3" a="1"/>
  <c r="E339" i="3" a="1"/>
  <c r="E58" i="3" a="1"/>
  <c r="E274" i="3" a="1"/>
  <c r="E490" i="3" a="1"/>
  <c r="E335" i="3" a="1"/>
  <c r="E270" i="3" a="1"/>
  <c r="E11" i="3" a="1"/>
  <c r="E83" i="3" a="1"/>
  <c r="E155" i="3" a="1"/>
  <c r="E227" i="3" a="1"/>
  <c r="E299" i="3" a="1"/>
  <c r="E371" i="3" a="1"/>
  <c r="E443" i="3" a="1"/>
  <c r="E18" i="3" a="1"/>
  <c r="E90" i="3" a="1"/>
  <c r="E162" i="3" a="1"/>
  <c r="E234" i="3" a="1"/>
  <c r="E306" i="3" a="1"/>
  <c r="E378" i="3" a="1"/>
  <c r="E450" i="3" a="1"/>
  <c r="E25" i="3" a="1"/>
  <c r="E97" i="3" a="1"/>
  <c r="E169" i="3" a="1"/>
  <c r="E241" i="3" a="1"/>
  <c r="E313" i="3" a="1"/>
  <c r="E385" i="3" a="1"/>
  <c r="E457" i="3" a="1"/>
  <c r="E26" i="3" a="1"/>
  <c r="E98" i="3" a="1"/>
  <c r="E170" i="3" a="1"/>
  <c r="E242" i="3" a="1"/>
  <c r="E386" i="3" a="1"/>
  <c r="E458" i="3" a="1"/>
  <c r="E27" i="3" a="1"/>
  <c r="E99" i="3" a="1"/>
  <c r="E243" i="3" a="1"/>
  <c r="E387" i="3" a="1"/>
  <c r="E106" i="3" a="1"/>
  <c r="E322" i="3" a="1"/>
  <c r="E89" i="3" a="1"/>
  <c r="E233" i="3" a="1"/>
  <c r="E377" i="3" a="1"/>
  <c r="E24" i="3" a="1"/>
  <c r="E168" i="3" a="1"/>
  <c r="E312" i="3" a="1"/>
  <c r="E456" i="3" a="1"/>
  <c r="E103" i="3" a="1"/>
  <c r="E247" i="3" a="1"/>
  <c r="E391" i="3" a="1"/>
  <c r="E32" i="3" a="1"/>
  <c r="E176" i="3" a="1"/>
  <c r="E320" i="3" a="1"/>
  <c r="E464" i="3" a="1"/>
  <c r="E105" i="3" a="1"/>
  <c r="E249" i="3" a="1"/>
  <c r="E393" i="3" a="1"/>
  <c r="E40" i="3" a="1"/>
  <c r="E184" i="3" a="1"/>
  <c r="E328" i="3" a="1"/>
  <c r="E472" i="3" a="1"/>
  <c r="E258" i="3" a="1"/>
  <c r="E121" i="3" a="1"/>
  <c r="E337" i="3" a="1"/>
  <c r="E50" i="3" a="1"/>
  <c r="E338" i="3" a="1"/>
  <c r="E51" i="3" a="1"/>
  <c r="E267" i="3" a="1"/>
  <c r="E411" i="3" a="1"/>
  <c r="E130" i="3" a="1"/>
  <c r="E346" i="3" a="1"/>
  <c r="E47" i="3" a="1"/>
  <c r="E407" i="3" a="1"/>
  <c r="E198" i="3" a="1"/>
  <c r="E486" i="3" a="1"/>
  <c r="E23" i="3" a="1"/>
  <c r="E95" i="3" a="1"/>
  <c r="E167" i="3" a="1"/>
  <c r="E239" i="3" a="1"/>
  <c r="E311" i="3" a="1"/>
  <c r="E383" i="3" a="1"/>
  <c r="E455" i="3" a="1"/>
  <c r="E30" i="3" a="1"/>
  <c r="E102" i="3" a="1"/>
  <c r="E174" i="3" a="1"/>
  <c r="E246" i="3" a="1"/>
  <c r="E318" i="3" a="1"/>
  <c r="E390" i="3" a="1"/>
  <c r="E462" i="3" a="1"/>
  <c r="E37" i="3" a="1"/>
  <c r="E109" i="3" a="1"/>
  <c r="E181" i="3" a="1"/>
  <c r="E253" i="3" a="1"/>
  <c r="E325" i="3" a="1"/>
  <c r="E397" i="3" a="1"/>
  <c r="E469" i="3" a="1"/>
  <c r="E38" i="3" a="1"/>
  <c r="E110" i="3" a="1"/>
  <c r="E182" i="3" a="1"/>
  <c r="E254" i="3" a="1"/>
  <c r="E326" i="3" a="1"/>
  <c r="E398" i="3" a="1"/>
  <c r="E470" i="3" a="1"/>
  <c r="E39" i="3" a="1"/>
  <c r="E111" i="3" a="1"/>
  <c r="E183" i="3" a="1"/>
  <c r="E255" i="3" a="1"/>
  <c r="E327" i="3" a="1"/>
  <c r="E399" i="3" a="1"/>
  <c r="E471" i="3" a="1"/>
  <c r="E46" i="3" a="1"/>
  <c r="E118" i="3" a="1"/>
  <c r="E190" i="3" a="1"/>
  <c r="E262" i="3" a="1"/>
  <c r="E334" i="3" a="1"/>
  <c r="E406" i="3" a="1"/>
  <c r="E478" i="3" a="1"/>
  <c r="E29" i="3" a="1"/>
  <c r="E101" i="3" a="1"/>
  <c r="E173" i="3" a="1"/>
  <c r="E245" i="3" a="1"/>
  <c r="E317" i="3" a="1"/>
  <c r="E389" i="3" a="1"/>
  <c r="E461" i="3" a="1"/>
  <c r="E36" i="3" a="1"/>
  <c r="E108" i="3" a="1"/>
  <c r="E180" i="3" a="1"/>
  <c r="E252" i="3" a="1"/>
  <c r="E324" i="3" a="1"/>
  <c r="E396" i="3" a="1"/>
  <c r="E468" i="3" a="1"/>
  <c r="E43" i="3" a="1"/>
  <c r="E115" i="3" a="1"/>
  <c r="E187" i="3" a="1"/>
  <c r="E259" i="3" a="1"/>
  <c r="E331" i="3" a="1"/>
  <c r="E403" i="3" a="1"/>
  <c r="E475" i="3" a="1"/>
  <c r="E44" i="3" a="1"/>
  <c r="E116" i="3" a="1"/>
  <c r="E188" i="3" a="1"/>
  <c r="E260" i="3" a="1"/>
  <c r="E332" i="3" a="1"/>
  <c r="E404" i="3" a="1"/>
  <c r="E476" i="3" a="1"/>
  <c r="E45" i="3" a="1"/>
  <c r="E117" i="3" a="1"/>
  <c r="E189" i="3" a="1"/>
  <c r="E261" i="3" a="1"/>
  <c r="E333" i="3" a="1"/>
  <c r="E405" i="3" a="1"/>
  <c r="E477" i="3" a="1"/>
  <c r="E52" i="3" a="1"/>
  <c r="E124" i="3" a="1"/>
  <c r="E196" i="3" a="1"/>
  <c r="E268" i="3" a="1"/>
  <c r="E340" i="3" a="1"/>
  <c r="E412" i="3" a="1"/>
  <c r="E484" i="3" a="1"/>
  <c r="E35" i="3" a="1"/>
  <c r="E107" i="3" a="1"/>
  <c r="E179" i="3" a="1"/>
  <c r="E251" i="3" a="1"/>
  <c r="E323" i="3" a="1"/>
  <c r="E395" i="3" a="1"/>
  <c r="E467" i="3" a="1"/>
  <c r="E42" i="3" a="1"/>
  <c r="E186" i="3" a="1"/>
  <c r="E330" i="3" a="1"/>
  <c r="E402" i="3" a="1"/>
  <c r="E474" i="3" a="1"/>
  <c r="E49" i="3" a="1"/>
  <c r="E265" i="3" a="1"/>
  <c r="E481" i="3" a="1"/>
  <c r="E194" i="3" a="1"/>
  <c r="E410" i="3" a="1"/>
  <c r="E195" i="3" a="1"/>
  <c r="E483" i="3" a="1"/>
  <c r="E202" i="3" a="1"/>
  <c r="E418" i="3" a="1"/>
  <c r="E119" i="3" a="1"/>
  <c r="E263" i="3" a="1"/>
  <c r="E479" i="3" a="1"/>
  <c r="E342" i="3" a="1"/>
  <c r="E61" i="3" a="1"/>
  <c r="E277" i="3" a="1"/>
  <c r="E41" i="3" a="1"/>
  <c r="E113" i="3" a="1"/>
  <c r="E185" i="3" a="1"/>
  <c r="E257" i="3" a="1"/>
  <c r="E329" i="3" a="1"/>
  <c r="E401" i="3" a="1"/>
  <c r="E473" i="3" a="1"/>
  <c r="E48" i="3" a="1"/>
  <c r="E120" i="3" a="1"/>
  <c r="E192" i="3" a="1"/>
  <c r="E264" i="3" a="1"/>
  <c r="E336" i="3" a="1"/>
  <c r="E408" i="3" a="1"/>
  <c r="E480" i="3" a="1"/>
  <c r="E55" i="3" a="1"/>
  <c r="E127" i="3" a="1"/>
  <c r="E199" i="3" a="1"/>
  <c r="E271" i="3" a="1"/>
  <c r="E343" i="3" a="1"/>
  <c r="E415" i="3" a="1"/>
  <c r="E487" i="3" a="1"/>
  <c r="E56" i="3" a="1"/>
  <c r="E128" i="3" a="1"/>
  <c r="E200" i="3" a="1"/>
  <c r="E272" i="3" a="1"/>
  <c r="E344" i="3" a="1"/>
  <c r="E416" i="3" a="1"/>
  <c r="E488" i="3" a="1"/>
  <c r="E57" i="3" a="1"/>
  <c r="E129" i="3" a="1"/>
  <c r="E201" i="3" a="1"/>
  <c r="E273" i="3" a="1"/>
  <c r="E345" i="3" a="1"/>
  <c r="E417" i="3" a="1"/>
  <c r="E489" i="3" a="1"/>
  <c r="E64" i="3" a="1"/>
  <c r="E136" i="3" a="1"/>
  <c r="E208" i="3" a="1"/>
  <c r="E280" i="3" a="1"/>
  <c r="E352" i="3" a="1"/>
  <c r="E424" i="3" a="1"/>
  <c r="E496" i="3" a="1"/>
  <c r="E191" i="3" a="1"/>
  <c r="E54" i="3" a="1"/>
  <c r="E414" i="3" a="1"/>
  <c r="E53" i="3" a="1"/>
  <c r="E125" i="3" a="1"/>
  <c r="E197" i="3" a="1"/>
  <c r="E269" i="3" a="1"/>
  <c r="E341" i="3" a="1"/>
  <c r="E413" i="3" a="1"/>
  <c r="E485" i="3" a="1"/>
  <c r="E60" i="3" a="1"/>
  <c r="E132" i="3" a="1"/>
  <c r="E204" i="3" a="1"/>
  <c r="E276" i="3" a="1"/>
  <c r="E348" i="3" a="1"/>
  <c r="E420" i="3" a="1"/>
  <c r="E492" i="3" a="1"/>
  <c r="E67" i="3" a="1"/>
  <c r="E139" i="3" a="1"/>
  <c r="E211" i="3" a="1"/>
  <c r="E283" i="3" a="1"/>
  <c r="E355" i="3" a="1"/>
  <c r="E427" i="3" a="1"/>
  <c r="E499" i="3" a="1"/>
  <c r="E68" i="3" a="1"/>
  <c r="E140" i="3" a="1"/>
  <c r="E212" i="3" a="1"/>
  <c r="E284" i="3" a="1"/>
  <c r="E356" i="3" a="1"/>
  <c r="E428" i="3" a="1"/>
  <c r="E500" i="3" a="1"/>
  <c r="E69" i="3" a="1"/>
  <c r="E141" i="3" a="1"/>
  <c r="E213" i="3" a="1"/>
  <c r="E285" i="3" a="1"/>
  <c r="E357" i="3" a="1"/>
  <c r="E429" i="3" a="1"/>
  <c r="E4" i="3" a="1"/>
  <c r="E76" i="3" a="1"/>
  <c r="E148" i="3" a="1"/>
  <c r="E220" i="3" a="1"/>
  <c r="E292" i="3" a="1"/>
  <c r="E364" i="3" a="1"/>
  <c r="E436" i="3" a="1"/>
  <c r="E59" i="3" a="1"/>
  <c r="E131" i="3" a="1"/>
  <c r="E203" i="3" a="1"/>
  <c r="E275" i="3" a="1"/>
  <c r="E347" i="3" a="1"/>
  <c r="E419" i="3" a="1"/>
  <c r="E491" i="3" a="1"/>
  <c r="E66" i="3" a="1"/>
  <c r="E138" i="3" a="1"/>
  <c r="E210" i="3" a="1"/>
  <c r="E282" i="3" a="1"/>
  <c r="E354" i="3" a="1"/>
  <c r="E426" i="3" a="1"/>
  <c r="E498" i="3" a="1"/>
  <c r="E73" i="3" a="1"/>
  <c r="E145" i="3" a="1"/>
  <c r="E217" i="3" a="1"/>
  <c r="E289" i="3" a="1"/>
  <c r="E361" i="3" a="1"/>
  <c r="E433" i="3" a="1"/>
  <c r="E2" i="3" a="1"/>
  <c r="E74" i="3" a="1"/>
  <c r="E146" i="3" a="1"/>
  <c r="E218" i="3" a="1"/>
  <c r="E290" i="3" a="1"/>
  <c r="E362" i="3" a="1"/>
  <c r="E434" i="3" a="1"/>
  <c r="E3" i="3" a="1"/>
  <c r="E75" i="3" a="1"/>
  <c r="E147" i="3" a="1"/>
  <c r="E219" i="3" a="1"/>
  <c r="E291" i="3" a="1"/>
  <c r="E363" i="3" a="1"/>
  <c r="E435" i="3" a="1"/>
  <c r="E10" i="3" a="1"/>
  <c r="E82" i="3" a="1"/>
  <c r="E154" i="3" a="1"/>
  <c r="E226" i="3" a="1"/>
  <c r="E298" i="3" a="1"/>
  <c r="E370" i="3" a="1"/>
  <c r="E442" i="3" a="1"/>
  <c r="E65" i="3" a="1"/>
  <c r="E137" i="3" a="1"/>
  <c r="E209" i="3" a="1"/>
  <c r="E281" i="3" a="1"/>
  <c r="E353" i="3" a="1"/>
  <c r="E425" i="3" a="1"/>
  <c r="E497" i="3" a="1"/>
  <c r="E72" i="3" a="1"/>
  <c r="E144" i="3" a="1"/>
  <c r="E216" i="3" a="1"/>
  <c r="E288" i="3" a="1"/>
  <c r="E360" i="3" a="1"/>
  <c r="E432" i="3" a="1"/>
  <c r="E7" i="3" a="1"/>
  <c r="E79" i="3" a="1"/>
  <c r="E151" i="3" a="1"/>
  <c r="E223" i="3" a="1"/>
  <c r="E295" i="3" a="1"/>
  <c r="E367" i="3" a="1"/>
  <c r="E439" i="3" a="1"/>
  <c r="E8" i="3" a="1"/>
  <c r="E80" i="3" a="1"/>
  <c r="E152" i="3" a="1"/>
  <c r="E224" i="3" a="1"/>
  <c r="E296" i="3" a="1"/>
  <c r="E368" i="3" a="1"/>
  <c r="E440" i="3" a="1"/>
  <c r="E9" i="3" a="1"/>
  <c r="E81" i="3" a="1"/>
  <c r="E153" i="3" a="1"/>
  <c r="E225" i="3" a="1"/>
  <c r="E297" i="3" a="1"/>
  <c r="E369" i="3" a="1"/>
  <c r="E441" i="3" a="1"/>
  <c r="E16" i="3" a="1"/>
  <c r="E88" i="3" a="1"/>
  <c r="E160" i="3" a="1"/>
  <c r="E232" i="3" a="1"/>
  <c r="E304" i="3" a="1"/>
  <c r="E376" i="3" a="1"/>
  <c r="E448" i="3" a="1"/>
  <c r="E126" i="3" a="1"/>
  <c r="E133" i="3" a="1"/>
  <c r="E423" i="3" a="1"/>
  <c r="E278" i="3" a="1"/>
  <c r="E350" i="3" a="1"/>
  <c r="E422" i="3" a="1"/>
  <c r="E494" i="3" a="1"/>
  <c r="E205" i="3" a="1"/>
  <c r="E142" i="3" a="1"/>
  <c r="E349" i="3" a="1"/>
  <c r="E207" i="3" a="1"/>
  <c r="E279" i="3" a="1"/>
  <c r="E134" i="3" a="1"/>
  <c r="E206" i="3" a="1"/>
  <c r="E214" i="3" a="1"/>
  <c r="E421" i="3" a="1"/>
  <c r="E63" i="3" a="1"/>
  <c r="E135" i="3" a="1"/>
  <c r="E493" i="3" a="1"/>
  <c r="E351" i="3" a="1"/>
  <c r="E62" i="3" a="1"/>
  <c r="E495" i="3" a="1"/>
  <c r="E70" i="3" a="1"/>
  <c r="E286" i="3" a="1"/>
  <c r="E358" i="3" a="1"/>
  <c r="E430" i="3" a="1"/>
  <c r="E496" i="3" l="1"/>
  <c r="E490" i="3"/>
  <c r="E484" i="3"/>
  <c r="E478" i="3"/>
  <c r="E472" i="3"/>
  <c r="E466" i="3"/>
  <c r="E460" i="3"/>
  <c r="E454" i="3"/>
  <c r="E448" i="3"/>
  <c r="E442" i="3"/>
  <c r="E436" i="3"/>
  <c r="E430" i="3"/>
  <c r="E424" i="3"/>
  <c r="E418" i="3"/>
  <c r="E412" i="3"/>
  <c r="E406" i="3"/>
  <c r="E400" i="3"/>
  <c r="E394" i="3"/>
  <c r="E388" i="3"/>
  <c r="E382" i="3"/>
  <c r="E376" i="3"/>
  <c r="E370" i="3"/>
  <c r="E364" i="3"/>
  <c r="E358" i="3"/>
  <c r="E352" i="3"/>
  <c r="E346" i="3"/>
  <c r="E340" i="3"/>
  <c r="E334" i="3"/>
  <c r="E328" i="3"/>
  <c r="E322" i="3"/>
  <c r="E316" i="3"/>
  <c r="E310" i="3"/>
  <c r="E304" i="3"/>
  <c r="E298" i="3"/>
  <c r="E292" i="3"/>
  <c r="E286" i="3"/>
  <c r="E280" i="3"/>
  <c r="E274" i="3"/>
  <c r="E268" i="3"/>
  <c r="E262" i="3"/>
  <c r="E256" i="3"/>
  <c r="E250" i="3"/>
  <c r="E244" i="3"/>
  <c r="E238" i="3"/>
  <c r="E232" i="3"/>
  <c r="E226" i="3"/>
  <c r="E220" i="3"/>
  <c r="E214" i="3"/>
  <c r="E208" i="3"/>
  <c r="E202" i="3"/>
  <c r="E196" i="3"/>
  <c r="E190" i="3"/>
  <c r="E184" i="3"/>
  <c r="E178" i="3"/>
  <c r="E172" i="3"/>
  <c r="E166" i="3"/>
  <c r="E160" i="3"/>
  <c r="E154" i="3"/>
  <c r="E148" i="3"/>
  <c r="E142" i="3"/>
  <c r="E136" i="3"/>
  <c r="E130" i="3"/>
  <c r="E124" i="3"/>
  <c r="E118" i="3"/>
  <c r="E112" i="3"/>
  <c r="E106" i="3"/>
  <c r="E100" i="3"/>
  <c r="E94" i="3"/>
  <c r="E88" i="3"/>
  <c r="E82" i="3"/>
  <c r="E76" i="3"/>
  <c r="E70" i="3"/>
  <c r="E64" i="3"/>
  <c r="E58" i="3"/>
  <c r="E52" i="3"/>
  <c r="E46" i="3"/>
  <c r="E40" i="3"/>
  <c r="E34" i="3"/>
  <c r="E28" i="3"/>
  <c r="E22" i="3"/>
  <c r="E16" i="3"/>
  <c r="E10" i="3"/>
  <c r="E4" i="3"/>
  <c r="E495" i="3"/>
  <c r="E489" i="3"/>
  <c r="E483" i="3"/>
  <c r="E477" i="3"/>
  <c r="E471" i="3"/>
  <c r="E465" i="3"/>
  <c r="E459" i="3"/>
  <c r="E453" i="3"/>
  <c r="E447" i="3"/>
  <c r="E441" i="3"/>
  <c r="E435" i="3"/>
  <c r="E429" i="3"/>
  <c r="E423" i="3"/>
  <c r="E417" i="3"/>
  <c r="E411" i="3"/>
  <c r="E405" i="3"/>
  <c r="E399" i="3"/>
  <c r="E393" i="3"/>
  <c r="E387" i="3"/>
  <c r="E381" i="3"/>
  <c r="E375" i="3"/>
  <c r="E369" i="3"/>
  <c r="E363" i="3"/>
  <c r="E357" i="3"/>
  <c r="E351" i="3"/>
  <c r="E345" i="3"/>
  <c r="E339" i="3"/>
  <c r="E333" i="3"/>
  <c r="E327" i="3"/>
  <c r="E321" i="3"/>
  <c r="E315" i="3"/>
  <c r="E309" i="3"/>
  <c r="E303" i="3"/>
  <c r="E297" i="3"/>
  <c r="E291" i="3"/>
  <c r="E285" i="3"/>
  <c r="E279" i="3"/>
  <c r="E273" i="3"/>
  <c r="E267" i="3"/>
  <c r="E261" i="3"/>
  <c r="E255" i="3"/>
  <c r="E249" i="3"/>
  <c r="E243" i="3"/>
  <c r="E237" i="3"/>
  <c r="E231" i="3"/>
  <c r="E225" i="3"/>
  <c r="E219" i="3"/>
  <c r="E213" i="3"/>
  <c r="E207" i="3"/>
  <c r="E201" i="3"/>
  <c r="E195" i="3"/>
  <c r="E189" i="3"/>
  <c r="E183" i="3"/>
  <c r="E177" i="3"/>
  <c r="E171" i="3"/>
  <c r="E165" i="3"/>
  <c r="E159" i="3"/>
  <c r="E153" i="3"/>
  <c r="E147" i="3"/>
  <c r="E141" i="3"/>
  <c r="E135" i="3"/>
  <c r="E129" i="3"/>
  <c r="E123" i="3"/>
  <c r="E117" i="3"/>
  <c r="E111" i="3"/>
  <c r="E105" i="3"/>
  <c r="E99" i="3"/>
  <c r="E93" i="3"/>
  <c r="E87" i="3"/>
  <c r="E81" i="3"/>
  <c r="E75" i="3"/>
  <c r="E69" i="3"/>
  <c r="E63" i="3"/>
  <c r="E57" i="3"/>
  <c r="E51" i="3"/>
  <c r="E45" i="3"/>
  <c r="E39" i="3"/>
  <c r="E33" i="3"/>
  <c r="E27" i="3"/>
  <c r="E21" i="3"/>
  <c r="E15" i="3"/>
  <c r="E9" i="3"/>
  <c r="E3" i="3"/>
  <c r="G3" i="3" s="1" a="1"/>
  <c r="G3" i="3" s="1"/>
  <c r="E500" i="3"/>
  <c r="E494" i="3"/>
  <c r="E488" i="3"/>
  <c r="E482" i="3"/>
  <c r="E476" i="3"/>
  <c r="E470" i="3"/>
  <c r="E464" i="3"/>
  <c r="E458" i="3"/>
  <c r="E452" i="3"/>
  <c r="E446" i="3"/>
  <c r="E440" i="3"/>
  <c r="E434" i="3"/>
  <c r="E428" i="3"/>
  <c r="E422" i="3"/>
  <c r="E416" i="3"/>
  <c r="E410" i="3"/>
  <c r="E404" i="3"/>
  <c r="E398" i="3"/>
  <c r="E392" i="3"/>
  <c r="E386" i="3"/>
  <c r="E380" i="3"/>
  <c r="E374" i="3"/>
  <c r="E368" i="3"/>
  <c r="E362" i="3"/>
  <c r="E356" i="3"/>
  <c r="E350" i="3"/>
  <c r="E344" i="3"/>
  <c r="E338" i="3"/>
  <c r="E332" i="3"/>
  <c r="E326" i="3"/>
  <c r="E320" i="3"/>
  <c r="E314" i="3"/>
  <c r="E308" i="3"/>
  <c r="E302" i="3"/>
  <c r="E296" i="3"/>
  <c r="E290" i="3"/>
  <c r="E284" i="3"/>
  <c r="E278" i="3"/>
  <c r="E272" i="3"/>
  <c r="E266" i="3"/>
  <c r="E260" i="3"/>
  <c r="E254" i="3"/>
  <c r="E248" i="3"/>
  <c r="E242" i="3"/>
  <c r="E236" i="3"/>
  <c r="E230" i="3"/>
  <c r="E224" i="3"/>
  <c r="E218" i="3"/>
  <c r="E212" i="3"/>
  <c r="E206" i="3"/>
  <c r="E200" i="3"/>
  <c r="E194" i="3"/>
  <c r="E188" i="3"/>
  <c r="E182" i="3"/>
  <c r="E176" i="3"/>
  <c r="E170" i="3"/>
  <c r="E164" i="3"/>
  <c r="E158" i="3"/>
  <c r="E152" i="3"/>
  <c r="E146" i="3"/>
  <c r="E140" i="3"/>
  <c r="E134" i="3"/>
  <c r="E128" i="3"/>
  <c r="E122" i="3"/>
  <c r="E116" i="3"/>
  <c r="E110" i="3"/>
  <c r="E104" i="3"/>
  <c r="E98" i="3"/>
  <c r="E92" i="3"/>
  <c r="E86" i="3"/>
  <c r="E80" i="3"/>
  <c r="E74" i="3"/>
  <c r="E68" i="3"/>
  <c r="E62" i="3"/>
  <c r="E56" i="3"/>
  <c r="E50" i="3"/>
  <c r="E44" i="3"/>
  <c r="E38" i="3"/>
  <c r="E32" i="3"/>
  <c r="E26" i="3"/>
  <c r="E20" i="3"/>
  <c r="E14" i="3"/>
  <c r="E8" i="3"/>
  <c r="E2" i="3"/>
  <c r="G2" i="3" s="1" a="1"/>
  <c r="G2" i="3" s="1"/>
  <c r="E499" i="3"/>
  <c r="E493" i="3"/>
  <c r="E487" i="3"/>
  <c r="E481" i="3"/>
  <c r="E475" i="3"/>
  <c r="E469" i="3"/>
  <c r="E463" i="3"/>
  <c r="E457" i="3"/>
  <c r="E451" i="3"/>
  <c r="E445" i="3"/>
  <c r="E439" i="3"/>
  <c r="E433" i="3"/>
  <c r="E427" i="3"/>
  <c r="E421" i="3"/>
  <c r="E415" i="3"/>
  <c r="E409" i="3"/>
  <c r="E403" i="3"/>
  <c r="E397" i="3"/>
  <c r="E391" i="3"/>
  <c r="E385" i="3"/>
  <c r="E379" i="3"/>
  <c r="E373" i="3"/>
  <c r="E367" i="3"/>
  <c r="E361" i="3"/>
  <c r="E355" i="3"/>
  <c r="E349" i="3"/>
  <c r="E343" i="3"/>
  <c r="E337" i="3"/>
  <c r="E331" i="3"/>
  <c r="E325" i="3"/>
  <c r="E319" i="3"/>
  <c r="E313" i="3"/>
  <c r="E307" i="3"/>
  <c r="E301" i="3"/>
  <c r="E295" i="3"/>
  <c r="E289" i="3"/>
  <c r="E283" i="3"/>
  <c r="E277" i="3"/>
  <c r="E271" i="3"/>
  <c r="E265" i="3"/>
  <c r="E259" i="3"/>
  <c r="E253" i="3"/>
  <c r="E247" i="3"/>
  <c r="E241" i="3"/>
  <c r="E235" i="3"/>
  <c r="E229" i="3"/>
  <c r="E223" i="3"/>
  <c r="E217" i="3"/>
  <c r="E211" i="3"/>
  <c r="E205" i="3"/>
  <c r="E199" i="3"/>
  <c r="E193" i="3"/>
  <c r="E187" i="3"/>
  <c r="E181" i="3"/>
  <c r="E175" i="3"/>
  <c r="E169" i="3"/>
  <c r="E163" i="3"/>
  <c r="E157" i="3"/>
  <c r="E151" i="3"/>
  <c r="E145" i="3"/>
  <c r="E139" i="3"/>
  <c r="E133" i="3"/>
  <c r="E127" i="3"/>
  <c r="E121" i="3"/>
  <c r="E115" i="3"/>
  <c r="E109" i="3"/>
  <c r="E103" i="3"/>
  <c r="E97" i="3"/>
  <c r="E91" i="3"/>
  <c r="E85" i="3"/>
  <c r="E79" i="3"/>
  <c r="E73" i="3"/>
  <c r="E67" i="3"/>
  <c r="E61" i="3"/>
  <c r="E55" i="3"/>
  <c r="E49" i="3"/>
  <c r="E43" i="3"/>
  <c r="E37" i="3"/>
  <c r="E31" i="3"/>
  <c r="E25" i="3"/>
  <c r="E19" i="3"/>
  <c r="E13" i="3"/>
  <c r="E7" i="3"/>
  <c r="E498" i="3"/>
  <c r="E492" i="3"/>
  <c r="E486" i="3"/>
  <c r="E480" i="3"/>
  <c r="E474" i="3"/>
  <c r="E468" i="3"/>
  <c r="E462" i="3"/>
  <c r="E456" i="3"/>
  <c r="E450" i="3"/>
  <c r="E444" i="3"/>
  <c r="E438" i="3"/>
  <c r="E432" i="3"/>
  <c r="E426" i="3"/>
  <c r="E420" i="3"/>
  <c r="E414" i="3"/>
  <c r="E408" i="3"/>
  <c r="E402" i="3"/>
  <c r="E396" i="3"/>
  <c r="E390" i="3"/>
  <c r="E384" i="3"/>
  <c r="E378" i="3"/>
  <c r="E372" i="3"/>
  <c r="E366" i="3"/>
  <c r="E360" i="3"/>
  <c r="E354" i="3"/>
  <c r="E348" i="3"/>
  <c r="E342" i="3"/>
  <c r="E336" i="3"/>
  <c r="E330" i="3"/>
  <c r="E324" i="3"/>
  <c r="E318" i="3"/>
  <c r="E312" i="3"/>
  <c r="E306" i="3"/>
  <c r="E300" i="3"/>
  <c r="E294" i="3"/>
  <c r="E288" i="3"/>
  <c r="E282" i="3"/>
  <c r="E276" i="3"/>
  <c r="E270" i="3"/>
  <c r="E264" i="3"/>
  <c r="E258" i="3"/>
  <c r="E252" i="3"/>
  <c r="E246" i="3"/>
  <c r="E240" i="3"/>
  <c r="E234" i="3"/>
  <c r="E228" i="3"/>
  <c r="E222" i="3"/>
  <c r="E216" i="3"/>
  <c r="E210" i="3"/>
  <c r="E204" i="3"/>
  <c r="E198" i="3"/>
  <c r="E192" i="3"/>
  <c r="E186" i="3"/>
  <c r="E180" i="3"/>
  <c r="E174" i="3"/>
  <c r="E168" i="3"/>
  <c r="E162" i="3"/>
  <c r="E156" i="3"/>
  <c r="E150" i="3"/>
  <c r="E144" i="3"/>
  <c r="E138" i="3"/>
  <c r="E132" i="3"/>
  <c r="E126" i="3"/>
  <c r="E120" i="3"/>
  <c r="E114" i="3"/>
  <c r="E108" i="3"/>
  <c r="E102" i="3"/>
  <c r="E96" i="3"/>
  <c r="E90" i="3"/>
  <c r="E84" i="3"/>
  <c r="E78" i="3"/>
  <c r="E72" i="3"/>
  <c r="E66" i="3"/>
  <c r="E60" i="3"/>
  <c r="E54" i="3"/>
  <c r="E48" i="3"/>
  <c r="E42" i="3"/>
  <c r="E36" i="3"/>
  <c r="E30" i="3"/>
  <c r="E24" i="3"/>
  <c r="E18" i="3"/>
  <c r="E12" i="3"/>
  <c r="E6" i="3"/>
  <c r="E497" i="3"/>
  <c r="E491" i="3"/>
  <c r="E485" i="3"/>
  <c r="E479" i="3"/>
  <c r="E473" i="3"/>
  <c r="E467" i="3"/>
  <c r="E461" i="3"/>
  <c r="E455" i="3"/>
  <c r="E449" i="3"/>
  <c r="E443" i="3"/>
  <c r="E437" i="3"/>
  <c r="E431" i="3"/>
  <c r="E425" i="3"/>
  <c r="E419" i="3"/>
  <c r="E413" i="3"/>
  <c r="E407" i="3"/>
  <c r="E401" i="3"/>
  <c r="E395" i="3"/>
  <c r="E389" i="3"/>
  <c r="E383" i="3"/>
  <c r="E377" i="3"/>
  <c r="E371" i="3"/>
  <c r="E365" i="3"/>
  <c r="E359" i="3"/>
  <c r="E353" i="3"/>
  <c r="E347" i="3"/>
  <c r="E341" i="3"/>
  <c r="E335" i="3"/>
  <c r="E329" i="3"/>
  <c r="E323" i="3"/>
  <c r="E317" i="3"/>
  <c r="E311" i="3"/>
  <c r="E305" i="3"/>
  <c r="E299" i="3"/>
  <c r="E293" i="3"/>
  <c r="E287" i="3"/>
  <c r="E281" i="3"/>
  <c r="E275" i="3"/>
  <c r="E269" i="3"/>
  <c r="E263" i="3"/>
  <c r="E257" i="3"/>
  <c r="E251" i="3"/>
  <c r="E245" i="3"/>
  <c r="E239" i="3"/>
  <c r="E233" i="3"/>
  <c r="E227" i="3"/>
  <c r="E221" i="3"/>
  <c r="E215" i="3"/>
  <c r="E209" i="3"/>
  <c r="E203" i="3"/>
  <c r="E197" i="3"/>
  <c r="E191" i="3"/>
  <c r="E185" i="3"/>
  <c r="E179" i="3"/>
  <c r="E173" i="3"/>
  <c r="E167" i="3"/>
  <c r="E161" i="3"/>
  <c r="E155" i="3"/>
  <c r="E149" i="3"/>
  <c r="E143" i="3"/>
  <c r="E137" i="3"/>
  <c r="E131" i="3"/>
  <c r="E125" i="3"/>
  <c r="E119" i="3"/>
  <c r="E113" i="3"/>
  <c r="E107" i="3"/>
  <c r="E101" i="3"/>
  <c r="E95" i="3"/>
  <c r="E89" i="3"/>
  <c r="E83" i="3"/>
  <c r="E77" i="3"/>
  <c r="E71" i="3"/>
  <c r="E65" i="3"/>
  <c r="E59" i="3"/>
  <c r="E53" i="3"/>
  <c r="E47" i="3"/>
  <c r="E41" i="3"/>
  <c r="E35" i="3"/>
  <c r="E29" i="3"/>
  <c r="E23" i="3"/>
  <c r="E17" i="3"/>
  <c r="E11" i="3"/>
  <c r="E5" i="3"/>
  <c r="G477" i="3" a="1"/>
  <c r="G333" i="3" a="1"/>
  <c r="G189" i="3" a="1"/>
  <c r="G111" i="3" a="1"/>
  <c r="G39" i="3" a="1"/>
  <c r="G461" i="3" a="1"/>
  <c r="G389" i="3" a="1"/>
  <c r="G317" i="3" a="1"/>
  <c r="G245" i="3" a="1"/>
  <c r="G173" i="3" a="1"/>
  <c r="G101" i="3" a="1"/>
  <c r="G29" i="3" a="1"/>
  <c r="G454" i="3" a="1"/>
  <c r="G382" i="3" a="1"/>
  <c r="G310" i="3" a="1"/>
  <c r="G238" i="3" a="1"/>
  <c r="G166" i="3" a="1"/>
  <c r="G94" i="3" a="1"/>
  <c r="G22" i="3" a="1"/>
  <c r="G452" i="3" a="1"/>
  <c r="G380" i="3" a="1"/>
  <c r="G308" i="3" a="1"/>
  <c r="G236" i="3" a="1"/>
  <c r="G164" i="3" a="1"/>
  <c r="G92" i="3" a="1"/>
  <c r="G20" i="3" a="1"/>
  <c r="G373" i="3" a="1"/>
  <c r="G301" i="3" a="1"/>
  <c r="G229" i="3" a="1"/>
  <c r="G157" i="3" a="1"/>
  <c r="G85" i="3" a="1"/>
  <c r="G13" i="3" a="1"/>
  <c r="G438" i="3" a="1"/>
  <c r="G366" i="3" a="1"/>
  <c r="G294" i="3" a="1"/>
  <c r="G222" i="3" a="1"/>
  <c r="G150" i="3" a="1"/>
  <c r="G78" i="3" a="1"/>
  <c r="G6" i="3" a="1"/>
  <c r="G481" i="3" a="1"/>
  <c r="G171" i="3" a="1"/>
  <c r="G449" i="3" a="1"/>
  <c r="G377" i="3" a="1"/>
  <c r="G305" i="3" a="1"/>
  <c r="G233" i="3" a="1"/>
  <c r="G89" i="3" a="1"/>
  <c r="G442" i="3" a="1"/>
  <c r="G298" i="3" a="1"/>
  <c r="G154" i="3" a="1"/>
  <c r="G10" i="3" a="1"/>
  <c r="G440" i="3" a="1"/>
  <c r="G296" i="3" a="1"/>
  <c r="G152" i="3" a="1"/>
  <c r="G8" i="3" a="1"/>
  <c r="G361" i="3" a="1"/>
  <c r="G217" i="3" a="1"/>
  <c r="G73" i="3" a="1"/>
  <c r="G426" i="3" a="1"/>
  <c r="G282" i="3" a="1"/>
  <c r="G138" i="3" a="1"/>
  <c r="G57" i="3" a="1"/>
  <c r="G168" i="3" a="1"/>
  <c r="G473" i="3" a="1"/>
  <c r="G185" i="3" a="1"/>
  <c r="G322" i="3" a="1"/>
  <c r="G464" i="3" a="1"/>
  <c r="G378" i="3" a="1"/>
  <c r="G117" i="3" a="1"/>
  <c r="G243" i="3" a="1"/>
  <c r="G235" i="3" a="1"/>
  <c r="G493" i="3" a="1"/>
  <c r="G465" i="3" a="1"/>
  <c r="G321" i="3" a="1"/>
  <c r="G177" i="3" a="1"/>
  <c r="G105" i="3" a="1"/>
  <c r="G33" i="3" a="1"/>
  <c r="G455" i="3" a="1"/>
  <c r="G383" i="3" a="1"/>
  <c r="G311" i="3" a="1"/>
  <c r="G239" i="3" a="1"/>
  <c r="G167" i="3" a="1"/>
  <c r="G95" i="3" a="1"/>
  <c r="G23" i="3" a="1"/>
  <c r="G448" i="3" a="1"/>
  <c r="G376" i="3" a="1"/>
  <c r="G304" i="3" a="1"/>
  <c r="G232" i="3" a="1"/>
  <c r="G160" i="3" a="1"/>
  <c r="G88" i="3" a="1"/>
  <c r="G16" i="3" a="1"/>
  <c r="G447" i="3" a="1"/>
  <c r="G375" i="3" a="1"/>
  <c r="G303" i="3" a="1"/>
  <c r="G231" i="3" a="1"/>
  <c r="G446" i="3" a="1"/>
  <c r="G374" i="3" a="1"/>
  <c r="G302" i="3" a="1"/>
  <c r="G230" i="3" a="1"/>
  <c r="G158" i="3" a="1"/>
  <c r="G86" i="3" a="1"/>
  <c r="G14" i="3" a="1"/>
  <c r="G439" i="3" a="1"/>
  <c r="G367" i="3" a="1"/>
  <c r="G295" i="3" a="1"/>
  <c r="G223" i="3" a="1"/>
  <c r="G151" i="3" a="1"/>
  <c r="G79" i="3" a="1"/>
  <c r="G7" i="3" a="1"/>
  <c r="G432" i="3" a="1"/>
  <c r="G360" i="3" a="1"/>
  <c r="G288" i="3" a="1"/>
  <c r="G216" i="3" a="1"/>
  <c r="G144" i="3" a="1"/>
  <c r="G72" i="3" a="1"/>
  <c r="G453" i="3" a="1"/>
  <c r="G99" i="3" a="1"/>
  <c r="G27" i="3" a="1"/>
  <c r="G161" i="3" a="1"/>
  <c r="G17" i="3" a="1"/>
  <c r="G370" i="3" a="1"/>
  <c r="G226" i="3" a="1"/>
  <c r="G82" i="3" a="1"/>
  <c r="G368" i="3" a="1"/>
  <c r="G224" i="3" a="1"/>
  <c r="G80" i="3" a="1"/>
  <c r="G289" i="3" a="1"/>
  <c r="G145" i="3" a="1"/>
  <c r="G498" i="3" a="1"/>
  <c r="G354" i="3" a="1"/>
  <c r="G210" i="3" a="1"/>
  <c r="G479" i="3" a="1"/>
  <c r="G319" i="3" a="1"/>
  <c r="G123" i="3" a="1"/>
  <c r="G250" i="3" a="1"/>
  <c r="G97" i="3" a="1"/>
  <c r="G467" i="3" a="1"/>
  <c r="G251" i="3" a="1"/>
  <c r="G35" i="3" a="1"/>
  <c r="G244" i="3" a="1"/>
  <c r="G459" i="3" a="1"/>
  <c r="G386" i="3" a="1"/>
  <c r="G170" i="3" a="1"/>
  <c r="G379" i="3" a="1"/>
  <c r="G444" i="3" a="1"/>
  <c r="G84" i="3" a="1"/>
  <c r="G309" i="3" a="1"/>
  <c r="G66" i="3" a="1"/>
  <c r="G329" i="3" a="1"/>
  <c r="G313" i="3" a="1"/>
  <c r="G323" i="3" a="1"/>
  <c r="G100" i="3" a="1"/>
  <c r="G242" i="3" a="1"/>
  <c r="G163" i="3" a="1"/>
  <c r="G372" i="3" a="1"/>
  <c r="G469" i="3" a="1"/>
  <c r="G441" i="3" a="1"/>
  <c r="G297" i="3" a="1"/>
  <c r="G165" i="3" a="1"/>
  <c r="G93" i="3" a="1"/>
  <c r="G21" i="3" a="1"/>
  <c r="G443" i="3" a="1"/>
  <c r="G371" i="3" a="1"/>
  <c r="G299" i="3" a="1"/>
  <c r="G227" i="3" a="1"/>
  <c r="G155" i="3" a="1"/>
  <c r="G83" i="3" a="1"/>
  <c r="G11" i="3" a="1"/>
  <c r="G436" i="3" a="1"/>
  <c r="G364" i="3" a="1"/>
  <c r="G292" i="3" a="1"/>
  <c r="G220" i="3" a="1"/>
  <c r="G148" i="3" a="1"/>
  <c r="G76" i="3" a="1"/>
  <c r="G435" i="3" a="1"/>
  <c r="G363" i="3" a="1"/>
  <c r="G291" i="3" a="1"/>
  <c r="G219" i="3" a="1"/>
  <c r="G434" i="3" a="1"/>
  <c r="G362" i="3" a="1"/>
  <c r="G290" i="3" a="1"/>
  <c r="G218" i="3" a="1"/>
  <c r="G146" i="3" a="1"/>
  <c r="G74" i="3" a="1"/>
  <c r="G499" i="3" a="1"/>
  <c r="G427" i="3" a="1"/>
  <c r="G355" i="3" a="1"/>
  <c r="G283" i="3" a="1"/>
  <c r="G211" i="3" a="1"/>
  <c r="G139" i="3" a="1"/>
  <c r="G67" i="3" a="1"/>
  <c r="G492" i="3" a="1"/>
  <c r="G420" i="3" a="1"/>
  <c r="G348" i="3" a="1"/>
  <c r="G276" i="3" a="1"/>
  <c r="G204" i="3" a="1"/>
  <c r="G132" i="3" a="1"/>
  <c r="G60" i="3" a="1"/>
  <c r="G428" i="3" a="1"/>
  <c r="G356" i="3" a="1"/>
  <c r="G284" i="3" a="1"/>
  <c r="G212" i="3" a="1"/>
  <c r="G140" i="3" a="1"/>
  <c r="G68" i="3" a="1"/>
  <c r="G349" i="3" a="1"/>
  <c r="G277" i="3" a="1"/>
  <c r="G205" i="3" a="1"/>
  <c r="G133" i="3" a="1"/>
  <c r="G61" i="3" a="1"/>
  <c r="G486" i="3" a="1"/>
  <c r="G414" i="3" a="1"/>
  <c r="G342" i="3" a="1"/>
  <c r="G270" i="3" a="1"/>
  <c r="G198" i="3" a="1"/>
  <c r="G126" i="3" a="1"/>
  <c r="G54" i="3" a="1"/>
  <c r="G253" i="3" a="1"/>
  <c r="G102" i="3" a="1"/>
  <c r="G225" i="3" a="1"/>
  <c r="G471" i="3" a="1"/>
  <c r="G463" i="3" a="1"/>
  <c r="G51" i="3" a="1"/>
  <c r="G106" i="3" a="1"/>
  <c r="G392" i="3" a="1"/>
  <c r="G450" i="3" a="1"/>
  <c r="G45" i="3" a="1"/>
  <c r="G387" i="3" a="1"/>
  <c r="G307" i="3" a="1"/>
  <c r="G457" i="3" a="1"/>
  <c r="G429" i="3" a="1"/>
  <c r="G285" i="3" a="1"/>
  <c r="G159" i="3" a="1"/>
  <c r="G87" i="3" a="1"/>
  <c r="G15" i="3" a="1"/>
  <c r="G437" i="3" a="1"/>
  <c r="G365" i="3" a="1"/>
  <c r="G293" i="3" a="1"/>
  <c r="G221" i="3" a="1"/>
  <c r="G149" i="3" a="1"/>
  <c r="G77" i="3" a="1"/>
  <c r="G5" i="3" a="1"/>
  <c r="G430" i="3" a="1"/>
  <c r="G358" i="3" a="1"/>
  <c r="G286" i="3" a="1"/>
  <c r="G214" i="3" a="1"/>
  <c r="G142" i="3" a="1"/>
  <c r="G70" i="3" a="1"/>
  <c r="G500" i="3" a="1"/>
  <c r="G241" i="3" a="1"/>
  <c r="G234" i="3" a="1"/>
  <c r="G201" i="3" a="1"/>
  <c r="G445" i="3" a="1"/>
  <c r="G417" i="3" a="1"/>
  <c r="G273" i="3" a="1"/>
  <c r="G153" i="3" a="1"/>
  <c r="G81" i="3" a="1"/>
  <c r="G9" i="3" a="1"/>
  <c r="G431" i="3" a="1"/>
  <c r="G359" i="3" a="1"/>
  <c r="G287" i="3" a="1"/>
  <c r="G215" i="3" a="1"/>
  <c r="G143" i="3" a="1"/>
  <c r="G71" i="3" a="1"/>
  <c r="G496" i="3" a="1"/>
  <c r="G424" i="3" a="1"/>
  <c r="G352" i="3" a="1"/>
  <c r="G280" i="3" a="1"/>
  <c r="G208" i="3" a="1"/>
  <c r="G136" i="3" a="1"/>
  <c r="G64" i="3" a="1"/>
  <c r="G495" i="3" a="1"/>
  <c r="G423" i="3" a="1"/>
  <c r="G351" i="3" a="1"/>
  <c r="G279" i="3" a="1"/>
  <c r="G207" i="3" a="1"/>
  <c r="G494" i="3" a="1"/>
  <c r="G422" i="3" a="1"/>
  <c r="G350" i="3" a="1"/>
  <c r="G278" i="3" a="1"/>
  <c r="G206" i="3" a="1"/>
  <c r="G134" i="3" a="1"/>
  <c r="G62" i="3" a="1"/>
  <c r="G487" i="3" a="1"/>
  <c r="G415" i="3" a="1"/>
  <c r="G343" i="3" a="1"/>
  <c r="G271" i="3" a="1"/>
  <c r="G199" i="3" a="1"/>
  <c r="G127" i="3" a="1"/>
  <c r="G55" i="3" a="1"/>
  <c r="G480" i="3" a="1"/>
  <c r="G408" i="3" a="1"/>
  <c r="G336" i="3" a="1"/>
  <c r="G264" i="3" a="1"/>
  <c r="G192" i="3" a="1"/>
  <c r="G120" i="3" a="1"/>
  <c r="G48" i="3" a="1"/>
  <c r="G237" i="3" a="1"/>
  <c r="G485" i="3" a="1"/>
  <c r="G269" i="3" a="1"/>
  <c r="G53" i="3" a="1"/>
  <c r="G334" i="3" a="1"/>
  <c r="G318" i="3" a="1"/>
  <c r="G129" i="3" a="1"/>
  <c r="G407" i="3" a="1"/>
  <c r="G191" i="3" a="1"/>
  <c r="G119" i="3" a="1"/>
  <c r="G47" i="3" a="1"/>
  <c r="G400" i="3" a="1"/>
  <c r="G256" i="3" a="1"/>
  <c r="G184" i="3" a="1"/>
  <c r="G40" i="3" a="1"/>
  <c r="G327" i="3" a="1"/>
  <c r="G183" i="3" a="1"/>
  <c r="G398" i="3" a="1"/>
  <c r="G326" i="3" a="1"/>
  <c r="G182" i="3" a="1"/>
  <c r="G38" i="3" a="1"/>
  <c r="G103" i="3" a="1"/>
  <c r="G240" i="3" a="1"/>
  <c r="G213" i="3" a="1"/>
  <c r="G466" i="3" a="1"/>
  <c r="G18" i="3" a="1"/>
  <c r="G395" i="3" a="1"/>
  <c r="G179" i="3" a="1"/>
  <c r="G107" i="3" a="1"/>
  <c r="G460" i="3" a="1"/>
  <c r="G172" i="3" a="1"/>
  <c r="G315" i="3" a="1"/>
  <c r="G458" i="3" a="1"/>
  <c r="G451" i="3" a="1"/>
  <c r="G19" i="3" a="1"/>
  <c r="G156" i="3" a="1"/>
  <c r="G433" i="3" a="1"/>
  <c r="G405" i="3" a="1"/>
  <c r="G261" i="3" a="1"/>
  <c r="G147" i="3" a="1"/>
  <c r="G75" i="3" a="1"/>
  <c r="G497" i="3" a="1"/>
  <c r="G425" i="3" a="1"/>
  <c r="G353" i="3" a="1"/>
  <c r="G281" i="3" a="1"/>
  <c r="G209" i="3" a="1"/>
  <c r="G137" i="3" a="1"/>
  <c r="G65" i="3" a="1"/>
  <c r="G490" i="3" a="1"/>
  <c r="G418" i="3" a="1"/>
  <c r="G346" i="3" a="1"/>
  <c r="G274" i="3" a="1"/>
  <c r="G202" i="3" a="1"/>
  <c r="G130" i="3" a="1"/>
  <c r="G58" i="3" a="1"/>
  <c r="G488" i="3" a="1"/>
  <c r="G416" i="3" a="1"/>
  <c r="G344" i="3" a="1"/>
  <c r="G272" i="3" a="1"/>
  <c r="G200" i="3" a="1"/>
  <c r="G128" i="3" a="1"/>
  <c r="G56" i="3" a="1"/>
  <c r="G337" i="3" a="1"/>
  <c r="G265" i="3" a="1"/>
  <c r="G193" i="3" a="1"/>
  <c r="G121" i="3" a="1"/>
  <c r="G49" i="3" a="1"/>
  <c r="G474" i="3" a="1"/>
  <c r="G402" i="3" a="1"/>
  <c r="G330" i="3" a="1"/>
  <c r="G258" i="3" a="1"/>
  <c r="G186" i="3" a="1"/>
  <c r="G114" i="3" a="1"/>
  <c r="G42" i="3" a="1"/>
  <c r="G381" i="3" a="1"/>
  <c r="G63" i="3" a="1"/>
  <c r="G341" i="3" a="1"/>
  <c r="G125" i="3" a="1"/>
  <c r="G478" i="3" a="1"/>
  <c r="G262" i="3" a="1"/>
  <c r="G118" i="3" a="1"/>
  <c r="G404" i="3" a="1"/>
  <c r="G260" i="3" a="1"/>
  <c r="G116" i="3" a="1"/>
  <c r="G181" i="3" a="1"/>
  <c r="G37" i="3" a="1"/>
  <c r="G390" i="3" a="1"/>
  <c r="G174" i="3" a="1"/>
  <c r="G397" i="3" a="1"/>
  <c r="G263" i="3" a="1"/>
  <c r="G328" i="3" a="1"/>
  <c r="G399" i="3" a="1"/>
  <c r="G254" i="3" a="1"/>
  <c r="G391" i="3" a="1"/>
  <c r="G175" i="3" a="1"/>
  <c r="G456" i="3" a="1"/>
  <c r="G96" i="3" a="1"/>
  <c r="G357" i="3" a="1"/>
  <c r="G113" i="3" a="1"/>
  <c r="G34" i="3" a="1"/>
  <c r="G248" i="3" a="1"/>
  <c r="G104" i="3" a="1"/>
  <c r="G169" i="3" a="1"/>
  <c r="G306" i="3" a="1"/>
  <c r="G90" i="3" a="1"/>
  <c r="G345" i="3" a="1"/>
  <c r="G316" i="3" a="1"/>
  <c r="G98" i="3" a="1"/>
  <c r="G300" i="3" a="1"/>
  <c r="G421" i="3" a="1"/>
  <c r="G393" i="3" a="1"/>
  <c r="G249" i="3" a="1"/>
  <c r="G141" i="3" a="1"/>
  <c r="G69" i="3" a="1"/>
  <c r="G491" i="3" a="1"/>
  <c r="G419" i="3" a="1"/>
  <c r="G347" i="3" a="1"/>
  <c r="G275" i="3" a="1"/>
  <c r="G203" i="3" a="1"/>
  <c r="G131" i="3" a="1"/>
  <c r="G59" i="3" a="1"/>
  <c r="G484" i="3" a="1"/>
  <c r="G412" i="3" a="1"/>
  <c r="G340" i="3" a="1"/>
  <c r="G268" i="3" a="1"/>
  <c r="G196" i="3" a="1"/>
  <c r="G124" i="3" a="1"/>
  <c r="G52" i="3" a="1"/>
  <c r="G483" i="3" a="1"/>
  <c r="G411" i="3" a="1"/>
  <c r="G339" i="3" a="1"/>
  <c r="G267" i="3" a="1"/>
  <c r="G195" i="3" a="1"/>
  <c r="G482" i="3" a="1"/>
  <c r="G410" i="3" a="1"/>
  <c r="G338" i="3" a="1"/>
  <c r="G266" i="3" a="1"/>
  <c r="G194" i="3" a="1"/>
  <c r="G122" i="3" a="1"/>
  <c r="G50" i="3" a="1"/>
  <c r="G475" i="3" a="1"/>
  <c r="G403" i="3" a="1"/>
  <c r="G331" i="3" a="1"/>
  <c r="G259" i="3" a="1"/>
  <c r="G187" i="3" a="1"/>
  <c r="G115" i="3" a="1"/>
  <c r="G43" i="3" a="1"/>
  <c r="G468" i="3" a="1"/>
  <c r="G396" i="3" a="1"/>
  <c r="G324" i="3" a="1"/>
  <c r="G252" i="3" a="1"/>
  <c r="G180" i="3" a="1"/>
  <c r="G108" i="3" a="1"/>
  <c r="G36" i="3" a="1"/>
  <c r="G409" i="3" a="1"/>
  <c r="G135" i="3" a="1"/>
  <c r="G413" i="3" a="1"/>
  <c r="G197" i="3" a="1"/>
  <c r="G406" i="3" a="1"/>
  <c r="G190" i="3" a="1"/>
  <c r="G46" i="3" a="1"/>
  <c r="G476" i="3" a="1"/>
  <c r="G332" i="3" a="1"/>
  <c r="G188" i="3" a="1"/>
  <c r="G44" i="3" a="1"/>
  <c r="G325" i="3" a="1"/>
  <c r="G109" i="3" a="1"/>
  <c r="G462" i="3" a="1"/>
  <c r="G246" i="3" a="1"/>
  <c r="G30" i="3" a="1"/>
  <c r="G369" i="3" a="1"/>
  <c r="G335" i="3" a="1"/>
  <c r="G472" i="3" a="1"/>
  <c r="G112" i="3" a="1"/>
  <c r="G255" i="3" a="1"/>
  <c r="G470" i="3" a="1"/>
  <c r="G110" i="3" a="1"/>
  <c r="G247" i="3" a="1"/>
  <c r="G31" i="3" a="1"/>
  <c r="G384" i="3" a="1"/>
  <c r="G312" i="3" a="1"/>
  <c r="G24" i="3" a="1"/>
  <c r="G385" i="3" a="1"/>
  <c r="G401" i="3" a="1"/>
  <c r="G257" i="3" a="1"/>
  <c r="G41" i="3" a="1"/>
  <c r="G394" i="3" a="1"/>
  <c r="G178" i="3" a="1"/>
  <c r="G320" i="3" a="1"/>
  <c r="G176" i="3" a="1"/>
  <c r="G32" i="3" a="1"/>
  <c r="G25" i="3" a="1"/>
  <c r="G162" i="3" a="1"/>
  <c r="G489" i="3" a="1"/>
  <c r="G28" i="3" a="1"/>
  <c r="G314" i="3" a="1"/>
  <c r="G91" i="3" a="1"/>
  <c r="G12" i="3" a="1"/>
  <c r="G388" i="3" a="1"/>
  <c r="G26" i="3" a="1"/>
  <c r="G228" i="3" a="1"/>
  <c r="F151" i="3" a="1"/>
  <c r="F381" i="3" a="1"/>
  <c r="F294" i="3" a="1"/>
  <c r="F287" i="3" a="1"/>
  <c r="F83" i="3" a="1"/>
  <c r="F445" i="3" a="1"/>
  <c r="F125" i="3" a="1"/>
  <c r="F307" i="3" a="1"/>
  <c r="F5" i="3" a="1"/>
  <c r="F120" i="3" a="1"/>
  <c r="F483" i="3" a="1"/>
  <c r="F350" i="3" a="1"/>
  <c r="F12" i="3" a="1"/>
  <c r="F323" i="3" a="1"/>
  <c r="F107" i="3" a="1"/>
  <c r="F129" i="3" a="1"/>
  <c r="F268" i="3" a="1"/>
  <c r="F173" i="3" a="1"/>
  <c r="F214" i="3" a="1"/>
  <c r="F137" i="3" a="1"/>
  <c r="F235" i="3" a="1"/>
  <c r="F50" i="3" a="1"/>
  <c r="F186" i="3" a="1"/>
  <c r="F486" i="3" a="1"/>
  <c r="F405" i="3" a="1"/>
  <c r="F82" i="3" a="1"/>
  <c r="F122" i="3" a="1"/>
  <c r="F140" i="3" a="1"/>
  <c r="F380" i="3" a="1"/>
  <c r="F386" i="3" a="1"/>
  <c r="F244" i="3" a="1"/>
  <c r="F327" i="3" a="1"/>
  <c r="F136" i="3" a="1"/>
  <c r="F111" i="3" a="1"/>
  <c r="F31" i="3" a="1"/>
  <c r="F434" i="3" a="1"/>
  <c r="F78" i="3" a="1"/>
  <c r="F321" i="3" a="1"/>
  <c r="F430" i="3" a="1"/>
  <c r="F382" i="3" a="1"/>
  <c r="F333" i="3" a="1"/>
  <c r="F135" i="3" a="1"/>
  <c r="F378" i="3" a="1"/>
  <c r="F117" i="3" a="1"/>
  <c r="F53" i="3" a="1"/>
  <c r="F356" i="3" a="1"/>
  <c r="F334" i="3" a="1"/>
  <c r="F360" i="3" a="1"/>
  <c r="F336" i="3" a="1"/>
  <c r="F296" i="3" a="1"/>
  <c r="F394" i="3" a="1"/>
  <c r="F64" i="3" a="1"/>
  <c r="F442" i="3" a="1"/>
  <c r="F156" i="3" a="1"/>
  <c r="F458" i="3" a="1"/>
  <c r="F119" i="3" a="1"/>
  <c r="F422" i="3" a="1"/>
  <c r="F425" i="3" a="1"/>
  <c r="F431" i="3" a="1"/>
  <c r="F253" i="3" a="1"/>
  <c r="F459" i="3" a="1"/>
  <c r="F389" i="3" a="1"/>
  <c r="F128" i="3" a="1"/>
  <c r="F58" i="3" a="1"/>
  <c r="F167" i="3" a="1"/>
  <c r="F344" i="3" a="1"/>
  <c r="F446" i="3" a="1"/>
  <c r="F184" i="3" a="1"/>
  <c r="F18" i="3" a="1"/>
  <c r="F232" i="3" a="1"/>
  <c r="F393" i="3" a="1"/>
  <c r="F198" i="3" a="1"/>
  <c r="F159" i="3" a="1"/>
  <c r="F75" i="3" a="1"/>
  <c r="F247" i="3" a="1"/>
  <c r="F319" i="3" a="1"/>
  <c r="F148" i="3" a="1"/>
  <c r="F270" i="3" a="1"/>
  <c r="F251" i="3" a="1"/>
  <c r="F223" i="3" a="1"/>
  <c r="F494" i="3" a="1"/>
  <c r="F291" i="3" a="1"/>
  <c r="F489" i="3" a="1"/>
  <c r="F188" i="3" a="1"/>
  <c r="F29" i="3" a="1"/>
  <c r="F476" i="3" a="1"/>
  <c r="F433" i="3" a="1"/>
  <c r="F274" i="3" a="1"/>
  <c r="F209" i="3" a="1"/>
  <c r="F449" i="3" a="1"/>
  <c r="F85" i="3" a="1"/>
  <c r="F174" i="3" a="1"/>
  <c r="F175" i="3" a="1"/>
  <c r="F182" i="3" a="1"/>
  <c r="F439" i="3" a="1"/>
  <c r="F240" i="3" a="1"/>
  <c r="F93" i="3" a="1"/>
  <c r="F68" i="3" a="1"/>
  <c r="F190" i="3" a="1"/>
  <c r="F500" i="3" a="1"/>
  <c r="F126" i="3" a="1"/>
  <c r="F308" i="3" a="1"/>
  <c r="F110" i="3" a="1"/>
  <c r="F61" i="3" a="1"/>
  <c r="F199" i="3" a="1"/>
  <c r="F113" i="3" a="1"/>
  <c r="F118" i="3" a="1"/>
  <c r="F385" i="3" a="1"/>
  <c r="F383" i="3" a="1"/>
  <c r="F403" i="3" a="1"/>
  <c r="F281" i="3" a="1"/>
  <c r="F279" i="3" a="1"/>
  <c r="F345" i="3" a="1"/>
  <c r="F480" i="3" a="1"/>
  <c r="F418" i="3" a="1"/>
  <c r="F39" i="3" a="1"/>
  <c r="F160" i="3" a="1"/>
  <c r="F273" i="3" a="1"/>
  <c r="F370" i="3" a="1"/>
  <c r="F424" i="3" a="1"/>
  <c r="F34" i="3" a="1"/>
  <c r="F25" i="3" a="1"/>
  <c r="F192" i="3" a="1"/>
  <c r="F450" i="3" a="1"/>
  <c r="F283" i="3" a="1"/>
  <c r="F443" i="3" a="1"/>
  <c r="F318" i="3" a="1"/>
  <c r="F420" i="3" a="1"/>
  <c r="F302" i="3" a="1"/>
  <c r="F32" i="3" a="1"/>
  <c r="F335" i="3" a="1"/>
  <c r="F206" i="3" a="1"/>
  <c r="F127" i="3" a="1"/>
  <c r="F245" i="3" a="1"/>
  <c r="F423" i="3" a="1"/>
  <c r="F364" i="3" a="1"/>
  <c r="F415" i="3" a="1"/>
  <c r="F456" i="3" a="1"/>
  <c r="F375" i="3" a="1"/>
  <c r="F72" i="3" a="1"/>
  <c r="F215" i="3" a="1"/>
  <c r="F69" i="3" a="1"/>
  <c r="F193" i="3" a="1"/>
  <c r="F366" i="3" a="1"/>
  <c r="F488" i="3" a="1"/>
  <c r="F219" i="3" a="1"/>
  <c r="F141" i="3" a="1"/>
  <c r="F37" i="3" a="1"/>
  <c r="F290" i="3" a="1"/>
  <c r="F295" i="3" a="1"/>
  <c r="F448" i="3" a="1"/>
  <c r="F413" i="3" a="1"/>
  <c r="F95" i="3" a="1"/>
  <c r="F292" i="3" a="1"/>
  <c r="F297" i="3" a="1"/>
  <c r="F482" i="3" a="1"/>
  <c r="F477" i="3" a="1"/>
  <c r="F230" i="3" a="1"/>
  <c r="F426" i="3" a="1"/>
  <c r="F390" i="3" a="1"/>
  <c r="F179" i="3" a="1"/>
  <c r="F237" i="3" a="1"/>
  <c r="F147" i="3" a="1"/>
  <c r="F177" i="3" a="1"/>
  <c r="F226" i="3" a="1"/>
  <c r="F259" i="3" a="1"/>
  <c r="F35" i="3" a="1"/>
  <c r="F474" i="3" a="1"/>
  <c r="F469" i="3" a="1"/>
  <c r="F300" i="3" a="1"/>
  <c r="F116" i="3" a="1"/>
  <c r="F337" i="3" a="1"/>
  <c r="F20" i="3" a="1"/>
  <c r="F317" i="3" a="1"/>
  <c r="F74" i="3" a="1"/>
  <c r="F304" i="3" a="1"/>
  <c r="F102" i="3" a="1"/>
  <c r="F496" i="3" a="1"/>
  <c r="F388" i="3" a="1"/>
  <c r="F354" i="3" a="1"/>
  <c r="F263" i="3" a="1"/>
  <c r="F495" i="3" a="1"/>
  <c r="F204" i="3" a="1"/>
  <c r="F187" i="3" a="1"/>
  <c r="F371" i="3" a="1"/>
  <c r="F490" i="3" a="1"/>
  <c r="F252" i="3" a="1"/>
  <c r="F213" i="3" a="1"/>
  <c r="F139" i="3" a="1"/>
  <c r="F466" i="3" a="1"/>
  <c r="F77" i="3" a="1"/>
  <c r="F399" i="3" a="1"/>
  <c r="F347" i="3" a="1"/>
  <c r="F348" i="3" a="1"/>
  <c r="F154" i="3" a="1"/>
  <c r="F400" i="3" a="1"/>
  <c r="F256" i="3" a="1"/>
  <c r="F358" i="3" a="1"/>
  <c r="F91" i="3" a="1"/>
  <c r="F320" i="3" a="1"/>
  <c r="F280" i="3" a="1"/>
  <c r="F60" i="3" a="1"/>
  <c r="F161" i="3" a="1"/>
  <c r="F216" i="3" a="1"/>
  <c r="F40" i="3" a="1"/>
  <c r="F438" i="3" a="1"/>
  <c r="F123" i="3" a="1"/>
  <c r="F457" i="3" a="1"/>
  <c r="F377" i="3" a="1"/>
  <c r="F42" i="3" a="1"/>
  <c r="F493" i="3" a="1"/>
  <c r="F234" i="3" a="1"/>
  <c r="F65" i="3" a="1"/>
  <c r="F255" i="3" a="1"/>
  <c r="F231" i="3" a="1"/>
  <c r="F22" i="3" a="1"/>
  <c r="F288" i="3" a="1"/>
  <c r="F312" i="3" a="1"/>
  <c r="F87" i="3" a="1"/>
  <c r="F396" i="3" a="1"/>
  <c r="F293" i="3" a="1"/>
  <c r="F361" i="3" a="1"/>
  <c r="F419" i="3" a="1"/>
  <c r="F23" i="3" a="1"/>
  <c r="F357" i="3" a="1"/>
  <c r="F301" i="3" a="1"/>
  <c r="F444" i="3" a="1"/>
  <c r="F242" i="3" a="1"/>
  <c r="F21" i="3" a="1"/>
  <c r="F52" i="3" a="1"/>
  <c r="F221" i="3" a="1"/>
  <c r="F432" i="3" a="1"/>
  <c r="F315" i="3" a="1"/>
  <c r="F99" i="3" a="1"/>
  <c r="F341" i="3" a="1"/>
  <c r="F47" i="3" a="1"/>
  <c r="F33" i="3" a="1"/>
  <c r="F59" i="3" a="1"/>
  <c r="F271" i="3" a="1"/>
  <c r="F376" i="3" a="1"/>
  <c r="F162" i="3" a="1"/>
  <c r="F313" i="3" a="1"/>
  <c r="F201" i="3" a="1"/>
  <c r="F121" i="3" a="1"/>
  <c r="F56" i="3" a="1"/>
  <c r="F465" i="3" a="1"/>
  <c r="F368" i="3" a="1"/>
  <c r="F491" i="3" a="1"/>
  <c r="F384" i="3" a="1"/>
  <c r="F9" i="3" a="1"/>
  <c r="F81" i="3" a="1"/>
  <c r="F97" i="3" a="1"/>
  <c r="F355" i="3" a="1"/>
  <c r="F105" i="3" a="1"/>
  <c r="F194" i="3" a="1"/>
  <c r="F451" i="3" a="1"/>
  <c r="F328" i="3" a="1"/>
  <c r="F331" i="3" a="1"/>
  <c r="F16" i="3" a="1"/>
  <c r="F222" i="3" a="1"/>
  <c r="F455" i="3" a="1"/>
  <c r="F421" i="3" a="1"/>
  <c r="F225" i="3" a="1"/>
  <c r="F329" i="3" a="1"/>
  <c r="F264" i="3" a="1"/>
  <c r="F467" i="3" a="1"/>
  <c r="F238" i="3" a="1"/>
  <c r="F224" i="3" a="1"/>
  <c r="F299" i="3" a="1"/>
  <c r="F346" i="3" a="1"/>
  <c r="F163" i="3" a="1"/>
  <c r="F257" i="3" a="1"/>
  <c r="F267" i="3" a="1"/>
  <c r="F353" i="3" a="1"/>
  <c r="F103" i="3" a="1"/>
  <c r="F149" i="3" a="1"/>
  <c r="F17" i="3" a="1"/>
  <c r="F71" i="3" a="1"/>
  <c r="F8" i="3" a="1"/>
  <c r="F236" i="3" a="1"/>
  <c r="F157" i="3" a="1"/>
  <c r="F170" i="3" a="1"/>
  <c r="F180" i="3" a="1"/>
  <c r="F101" i="3" a="1"/>
  <c r="F210" i="3" a="1"/>
  <c r="F343" i="3" a="1"/>
  <c r="F427" i="3" a="1"/>
  <c r="F265" i="3" a="1"/>
  <c r="F172" i="3" a="1"/>
  <c r="F218" i="3" a="1"/>
  <c r="F487" i="3" a="1"/>
  <c r="F324" i="3" a="1"/>
  <c r="F406" i="3" a="1"/>
  <c r="F195" i="3" a="1"/>
  <c r="F352" i="3" a="1"/>
  <c r="F417" i="3" a="1"/>
  <c r="F254" i="3" a="1"/>
  <c r="F212" i="3" a="1"/>
  <c r="F498" i="3" a="1"/>
  <c r="F164" i="3" a="1"/>
  <c r="F398" i="3" a="1"/>
  <c r="F62" i="3" a="1"/>
  <c r="F169" i="3" a="1"/>
  <c r="F303" i="3" a="1"/>
  <c r="F479" i="3" a="1"/>
  <c r="F207" i="3" a="1"/>
  <c r="F373" i="3" a="1"/>
  <c r="F10" i="3" a="1"/>
  <c r="F369" i="3" a="1"/>
  <c r="F298" i="3" a="1"/>
  <c r="F109" i="3" a="1"/>
  <c r="F112" i="3" a="1"/>
  <c r="F3" i="3" a="1"/>
  <c r="F26" i="3" a="1"/>
  <c r="F200" i="3" a="1"/>
  <c r="F250" i="3" a="1"/>
  <c r="F429" i="3" a="1"/>
  <c r="F80" i="3" a="1"/>
  <c r="F36" i="3" a="1"/>
  <c r="F45" i="3" a="1"/>
  <c r="F447" i="3" a="1"/>
  <c r="F395" i="3" a="1"/>
  <c r="F276" i="3" a="1"/>
  <c r="F410" i="3" a="1"/>
  <c r="F322" i="3" a="1"/>
  <c r="F94" i="3" a="1"/>
  <c r="F205" i="3" a="1"/>
  <c r="F272" i="3" a="1"/>
  <c r="F2" i="3" a="1"/>
  <c r="F11" i="3" a="1"/>
  <c r="F249" i="3" a="1"/>
  <c r="F339" i="3" a="1"/>
  <c r="F79" i="3" a="1"/>
  <c r="F229" i="3" a="1"/>
  <c r="F130" i="3" a="1"/>
  <c r="F166" i="3" a="1"/>
  <c r="F481" i="3" a="1"/>
  <c r="F464" i="3" a="1"/>
  <c r="F100" i="3" a="1"/>
  <c r="F310" i="3" a="1"/>
  <c r="F185" i="3" a="1"/>
  <c r="F203" i="3" a="1"/>
  <c r="F332" i="3" a="1"/>
  <c r="F397" i="3" a="1"/>
  <c r="F462" i="3" a="1"/>
  <c r="F144" i="3" a="1"/>
  <c r="F306" i="3" a="1"/>
  <c r="F342" i="3" a="1"/>
  <c r="F211" i="3" a="1"/>
  <c r="F168" i="3" a="1"/>
  <c r="F73" i="3" a="1"/>
  <c r="F261" i="3" a="1"/>
  <c r="F473" i="3" a="1"/>
  <c r="F196" i="3" a="1"/>
  <c r="F55" i="3" a="1"/>
  <c r="F372" i="3" a="1"/>
  <c r="F359" i="3" a="1"/>
  <c r="F176" i="3" a="1"/>
  <c r="F54" i="3" a="1"/>
  <c r="F282" i="3" a="1"/>
  <c r="F57" i="3" a="1"/>
  <c r="F189" i="3" a="1"/>
  <c r="F106" i="3" a="1"/>
  <c r="F362" i="3" a="1"/>
  <c r="F277" i="3" a="1"/>
  <c r="F351" i="3" a="1"/>
  <c r="F217" i="3" a="1"/>
  <c r="F197" i="3" a="1"/>
  <c r="F278" i="3" a="1"/>
  <c r="F153" i="3" a="1"/>
  <c r="F416" i="3" a="1"/>
  <c r="F241" i="3" a="1"/>
  <c r="F133" i="3" a="1"/>
  <c r="F471" i="3" a="1"/>
  <c r="F437" i="3" a="1"/>
  <c r="F401" i="3" a="1"/>
  <c r="F30" i="3" a="1"/>
  <c r="F15" i="3" a="1"/>
  <c r="F260" i="3" a="1"/>
  <c r="F181" i="3" a="1"/>
  <c r="F4" i="3" a="1"/>
  <c r="F115" i="3" a="1"/>
  <c r="F408" i="3" a="1"/>
  <c r="F41" i="3" a="1"/>
  <c r="F96" i="3" a="1"/>
  <c r="F284" i="3" a="1"/>
  <c r="F228" i="3" a="1"/>
  <c r="F363" i="3" a="1"/>
  <c r="F461" i="3" a="1"/>
  <c r="F374" i="3" a="1"/>
  <c r="F367" i="3" a="1"/>
  <c r="F67" i="3" a="1"/>
  <c r="F314" i="3" a="1"/>
  <c r="F132" i="3" a="1"/>
  <c r="F208" i="3" a="1"/>
  <c r="F233" i="3" a="1"/>
  <c r="F108" i="3" a="1"/>
  <c r="F66" i="3" a="1"/>
  <c r="F497" i="3" a="1"/>
  <c r="F165" i="3" a="1"/>
  <c r="F150" i="3" a="1"/>
  <c r="F454" i="3" a="1"/>
  <c r="F19" i="3" a="1"/>
  <c r="F70" i="3" a="1"/>
  <c r="F330" i="3" a="1"/>
  <c r="F27" i="3" a="1"/>
  <c r="F146" i="3" a="1"/>
  <c r="F441" i="3" a="1"/>
  <c r="F365" i="3" a="1"/>
  <c r="F155" i="3" a="1"/>
  <c r="F387" i="3" a="1"/>
  <c r="F453" i="3" a="1"/>
  <c r="F6" i="3" a="1"/>
  <c r="F379" i="3" a="1"/>
  <c r="F409" i="3" a="1"/>
  <c r="F48" i="3" a="1"/>
  <c r="F220" i="3" a="1"/>
  <c r="F478" i="3" a="1"/>
  <c r="F202" i="3" a="1"/>
  <c r="F326" i="3" a="1"/>
  <c r="F104" i="3" a="1"/>
  <c r="F411" i="3" a="1"/>
  <c r="F404" i="3" a="1"/>
  <c r="F239" i="3" a="1"/>
  <c r="F414" i="3" a="1"/>
  <c r="F484" i="3" a="1"/>
  <c r="F412" i="3" a="1"/>
  <c r="F84" i="3" a="1"/>
  <c r="F13" i="3" a="1"/>
  <c r="F325" i="3" a="1"/>
  <c r="F51" i="3" a="1"/>
  <c r="F49" i="3" a="1"/>
  <c r="F89" i="3" a="1"/>
  <c r="F76" i="3" a="1"/>
  <c r="F145" i="3" a="1"/>
  <c r="F183" i="3" a="1"/>
  <c r="F440" i="3" a="1"/>
  <c r="F402" i="3" a="1"/>
  <c r="F243" i="3" a="1"/>
  <c r="F24" i="3" a="1"/>
  <c r="F88" i="3" a="1"/>
  <c r="F191" i="3" a="1"/>
  <c r="F470" i="3" a="1"/>
  <c r="F63" i="3" a="1"/>
  <c r="F391" i="3" a="1"/>
  <c r="F289" i="3" a="1"/>
  <c r="F46" i="3" a="1"/>
  <c r="F338" i="3" a="1"/>
  <c r="F463" i="3" a="1"/>
  <c r="F269" i="3" a="1"/>
  <c r="F275" i="3" a="1"/>
  <c r="F485" i="3" a="1"/>
  <c r="F266" i="3" a="1"/>
  <c r="F138" i="3" a="1"/>
  <c r="F468" i="3" a="1"/>
  <c r="F43" i="3" a="1"/>
  <c r="F316" i="3" a="1"/>
  <c r="F246" i="3" a="1"/>
  <c r="F286" i="3" a="1"/>
  <c r="F178" i="3" a="1"/>
  <c r="F143" i="3" a="1"/>
  <c r="F258" i="3" a="1"/>
  <c r="F90" i="3" a="1"/>
  <c r="F38" i="3" a="1"/>
  <c r="F248" i="3" a="1"/>
  <c r="F492" i="3" a="1"/>
  <c r="F460" i="3" a="1"/>
  <c r="F171" i="3" a="1"/>
  <c r="F28" i="3" a="1"/>
  <c r="F349" i="3" a="1"/>
  <c r="F472" i="3" a="1"/>
  <c r="F407" i="3" a="1"/>
  <c r="F92" i="3" a="1"/>
  <c r="F142" i="3" a="1"/>
  <c r="F392" i="3" a="1"/>
  <c r="F435" i="3" a="1"/>
  <c r="F158" i="3" a="1"/>
  <c r="F475" i="3" a="1"/>
  <c r="F428" i="3" a="1"/>
  <c r="F340" i="3" a="1"/>
  <c r="F124" i="3" a="1"/>
  <c r="F7" i="3" a="1"/>
  <c r="F499" i="3" a="1"/>
  <c r="F86" i="3" a="1"/>
  <c r="F131" i="3" a="1"/>
  <c r="F114" i="3" a="1"/>
  <c r="F14" i="3" a="1"/>
  <c r="F285" i="3" a="1"/>
  <c r="F305" i="3" a="1"/>
  <c r="F98" i="3" a="1"/>
  <c r="F262" i="3" a="1"/>
  <c r="F452" i="3" a="1"/>
  <c r="F134" i="3" a="1"/>
  <c r="F44" i="3" a="1"/>
  <c r="F309" i="3" a="1"/>
  <c r="F436" i="3" a="1"/>
  <c r="F227" i="3" a="1"/>
  <c r="F311" i="3" a="1"/>
  <c r="F152" i="3" a="1"/>
  <c r="G228" i="3" l="1"/>
  <c r="G26" i="3"/>
  <c r="G388" i="3"/>
  <c r="G12" i="3"/>
  <c r="G91" i="3"/>
  <c r="G314" i="3"/>
  <c r="G28" i="3"/>
  <c r="G489" i="3"/>
  <c r="G162" i="3"/>
  <c r="G25" i="3"/>
  <c r="G32" i="3"/>
  <c r="G176" i="3"/>
  <c r="G320" i="3"/>
  <c r="G178" i="3"/>
  <c r="G394" i="3"/>
  <c r="G41" i="3"/>
  <c r="G257" i="3"/>
  <c r="G401" i="3"/>
  <c r="G385" i="3"/>
  <c r="G24" i="3"/>
  <c r="G312" i="3"/>
  <c r="G384" i="3"/>
  <c r="G31" i="3"/>
  <c r="G247" i="3"/>
  <c r="G110" i="3"/>
  <c r="G470" i="3"/>
  <c r="G255" i="3"/>
  <c r="G112" i="3"/>
  <c r="G472" i="3"/>
  <c r="G335" i="3"/>
  <c r="G369" i="3"/>
  <c r="G30" i="3"/>
  <c r="G246" i="3"/>
  <c r="G462" i="3"/>
  <c r="G109" i="3"/>
  <c r="G325" i="3"/>
  <c r="G44" i="3"/>
  <c r="G188" i="3"/>
  <c r="G332" i="3"/>
  <c r="G476" i="3"/>
  <c r="G46" i="3"/>
  <c r="G190" i="3"/>
  <c r="G406" i="3"/>
  <c r="G197" i="3"/>
  <c r="G413" i="3"/>
  <c r="G135" i="3"/>
  <c r="G409" i="3"/>
  <c r="G36" i="3"/>
  <c r="G108" i="3"/>
  <c r="G180" i="3"/>
  <c r="G252" i="3"/>
  <c r="G324" i="3"/>
  <c r="G396" i="3"/>
  <c r="G468" i="3"/>
  <c r="G43" i="3"/>
  <c r="G115" i="3"/>
  <c r="G187" i="3"/>
  <c r="G259" i="3"/>
  <c r="G331" i="3"/>
  <c r="G403" i="3"/>
  <c r="G475" i="3"/>
  <c r="G50" i="3"/>
  <c r="G122" i="3"/>
  <c r="G194" i="3"/>
  <c r="G266" i="3"/>
  <c r="G338" i="3"/>
  <c r="G410" i="3"/>
  <c r="G482" i="3"/>
  <c r="G195" i="3"/>
  <c r="G267" i="3"/>
  <c r="G339" i="3"/>
  <c r="G411" i="3"/>
  <c r="G483" i="3"/>
  <c r="G52" i="3"/>
  <c r="G124" i="3"/>
  <c r="G196" i="3"/>
  <c r="G268" i="3"/>
  <c r="G340" i="3"/>
  <c r="G412" i="3"/>
  <c r="G484" i="3"/>
  <c r="G59" i="3"/>
  <c r="G131" i="3"/>
  <c r="G203" i="3"/>
  <c r="G275" i="3"/>
  <c r="G347" i="3"/>
  <c r="G419" i="3"/>
  <c r="G491" i="3"/>
  <c r="G69" i="3"/>
  <c r="G141" i="3"/>
  <c r="G249" i="3"/>
  <c r="G393" i="3"/>
  <c r="G421" i="3"/>
  <c r="G300" i="3"/>
  <c r="G98" i="3"/>
  <c r="G316" i="3"/>
  <c r="G345" i="3"/>
  <c r="G90" i="3"/>
  <c r="G306" i="3"/>
  <c r="G169" i="3"/>
  <c r="G104" i="3"/>
  <c r="G248" i="3"/>
  <c r="G34" i="3"/>
  <c r="G113" i="3"/>
  <c r="G357" i="3"/>
  <c r="G96" i="3"/>
  <c r="G456" i="3"/>
  <c r="G175" i="3"/>
  <c r="G391" i="3"/>
  <c r="G254" i="3"/>
  <c r="G399" i="3"/>
  <c r="G328" i="3"/>
  <c r="G263" i="3"/>
  <c r="G397" i="3"/>
  <c r="G174" i="3"/>
  <c r="G390" i="3"/>
  <c r="G37" i="3"/>
  <c r="G181" i="3"/>
  <c r="G116" i="3"/>
  <c r="G260" i="3"/>
  <c r="G404" i="3"/>
  <c r="G118" i="3"/>
  <c r="G262" i="3"/>
  <c r="G478" i="3"/>
  <c r="G125" i="3"/>
  <c r="G341" i="3"/>
  <c r="G63" i="3"/>
  <c r="G381" i="3"/>
  <c r="G42" i="3"/>
  <c r="G114" i="3"/>
  <c r="G186" i="3"/>
  <c r="G258" i="3"/>
  <c r="G330" i="3"/>
  <c r="G402" i="3"/>
  <c r="G474" i="3"/>
  <c r="G49" i="3"/>
  <c r="G121" i="3"/>
  <c r="G193" i="3"/>
  <c r="G265" i="3"/>
  <c r="G337" i="3"/>
  <c r="G56" i="3"/>
  <c r="G128" i="3"/>
  <c r="G200" i="3"/>
  <c r="G272" i="3"/>
  <c r="G344" i="3"/>
  <c r="G416" i="3"/>
  <c r="G488" i="3"/>
  <c r="G58" i="3"/>
  <c r="G130" i="3"/>
  <c r="G202" i="3"/>
  <c r="G274" i="3"/>
  <c r="G346" i="3"/>
  <c r="G418" i="3"/>
  <c r="G490" i="3"/>
  <c r="G65" i="3"/>
  <c r="G137" i="3"/>
  <c r="G209" i="3"/>
  <c r="G281" i="3"/>
  <c r="G353" i="3"/>
  <c r="G425" i="3"/>
  <c r="G497" i="3"/>
  <c r="G75" i="3"/>
  <c r="G147" i="3"/>
  <c r="G261" i="3"/>
  <c r="G405" i="3"/>
  <c r="G433" i="3"/>
  <c r="G156" i="3"/>
  <c r="G19" i="3"/>
  <c r="G451" i="3"/>
  <c r="G458" i="3"/>
  <c r="G315" i="3"/>
  <c r="G172" i="3"/>
  <c r="G460" i="3"/>
  <c r="G107" i="3"/>
  <c r="G179" i="3"/>
  <c r="G395" i="3"/>
  <c r="G18" i="3"/>
  <c r="G466" i="3"/>
  <c r="G213" i="3"/>
  <c r="G240" i="3"/>
  <c r="G103" i="3"/>
  <c r="G38" i="3"/>
  <c r="G182" i="3"/>
  <c r="G326" i="3"/>
  <c r="G398" i="3"/>
  <c r="G183" i="3"/>
  <c r="G327" i="3"/>
  <c r="G40" i="3"/>
  <c r="G184" i="3"/>
  <c r="G256" i="3"/>
  <c r="G400" i="3"/>
  <c r="G47" i="3"/>
  <c r="G119" i="3"/>
  <c r="G191" i="3"/>
  <c r="G407" i="3"/>
  <c r="G129" i="3"/>
  <c r="G318" i="3"/>
  <c r="G334" i="3"/>
  <c r="G53" i="3"/>
  <c r="G269" i="3"/>
  <c r="G485" i="3"/>
  <c r="G237" i="3"/>
  <c r="G48" i="3"/>
  <c r="G120" i="3"/>
  <c r="G192" i="3"/>
  <c r="G264" i="3"/>
  <c r="G336" i="3"/>
  <c r="G408" i="3"/>
  <c r="G480" i="3"/>
  <c r="G55" i="3"/>
  <c r="G127" i="3"/>
  <c r="G199" i="3"/>
  <c r="G271" i="3"/>
  <c r="G343" i="3"/>
  <c r="G415" i="3"/>
  <c r="G487" i="3"/>
  <c r="G62" i="3"/>
  <c r="G134" i="3"/>
  <c r="G206" i="3"/>
  <c r="G278" i="3"/>
  <c r="G350" i="3"/>
  <c r="G422" i="3"/>
  <c r="G494" i="3"/>
  <c r="G207" i="3"/>
  <c r="G279" i="3"/>
  <c r="G351" i="3"/>
  <c r="G423" i="3"/>
  <c r="G495" i="3"/>
  <c r="G64" i="3"/>
  <c r="G136" i="3"/>
  <c r="G208" i="3"/>
  <c r="G280" i="3"/>
  <c r="G352" i="3"/>
  <c r="G424" i="3"/>
  <c r="G496" i="3"/>
  <c r="G71" i="3"/>
  <c r="G143" i="3"/>
  <c r="G215" i="3"/>
  <c r="G287" i="3"/>
  <c r="G359" i="3"/>
  <c r="G431" i="3"/>
  <c r="G9" i="3"/>
  <c r="G81" i="3"/>
  <c r="G153" i="3"/>
  <c r="G273" i="3"/>
  <c r="G417" i="3"/>
  <c r="G445" i="3"/>
  <c r="G201" i="3"/>
  <c r="G234" i="3"/>
  <c r="G241" i="3"/>
  <c r="G500" i="3"/>
  <c r="G70" i="3"/>
  <c r="G142" i="3"/>
  <c r="G214" i="3"/>
  <c r="G286" i="3"/>
  <c r="G358" i="3"/>
  <c r="G430" i="3"/>
  <c r="G5" i="3"/>
  <c r="G77" i="3"/>
  <c r="G149" i="3"/>
  <c r="G221" i="3"/>
  <c r="G293" i="3"/>
  <c r="G365" i="3"/>
  <c r="G437" i="3"/>
  <c r="G15" i="3"/>
  <c r="G87" i="3"/>
  <c r="G159" i="3"/>
  <c r="G285" i="3"/>
  <c r="G429" i="3"/>
  <c r="G457" i="3"/>
  <c r="G307" i="3"/>
  <c r="G387" i="3"/>
  <c r="G45" i="3"/>
  <c r="G450" i="3"/>
  <c r="G392" i="3"/>
  <c r="G106" i="3"/>
  <c r="G51" i="3"/>
  <c r="G463" i="3"/>
  <c r="G471" i="3"/>
  <c r="G225" i="3"/>
  <c r="G102" i="3"/>
  <c r="G253" i="3"/>
  <c r="G54" i="3"/>
  <c r="G126" i="3"/>
  <c r="G198" i="3"/>
  <c r="G270" i="3"/>
  <c r="G342" i="3"/>
  <c r="G414" i="3"/>
  <c r="G486" i="3"/>
  <c r="G61" i="3"/>
  <c r="G133" i="3"/>
  <c r="G205" i="3"/>
  <c r="G277" i="3"/>
  <c r="G349" i="3"/>
  <c r="G68" i="3"/>
  <c r="G140" i="3"/>
  <c r="G212" i="3"/>
  <c r="G284" i="3"/>
  <c r="G356" i="3"/>
  <c r="G428" i="3"/>
  <c r="G60" i="3"/>
  <c r="G132" i="3"/>
  <c r="G204" i="3"/>
  <c r="G276" i="3"/>
  <c r="G348" i="3"/>
  <c r="G420" i="3"/>
  <c r="G492" i="3"/>
  <c r="G67" i="3"/>
  <c r="G139" i="3"/>
  <c r="G211" i="3"/>
  <c r="G283" i="3"/>
  <c r="G355" i="3"/>
  <c r="G427" i="3"/>
  <c r="G499" i="3"/>
  <c r="G74" i="3"/>
  <c r="G146" i="3"/>
  <c r="G218" i="3"/>
  <c r="G290" i="3"/>
  <c r="G362" i="3"/>
  <c r="G434" i="3"/>
  <c r="G219" i="3"/>
  <c r="G291" i="3"/>
  <c r="G363" i="3"/>
  <c r="G435" i="3"/>
  <c r="G76" i="3"/>
  <c r="G148" i="3"/>
  <c r="G220" i="3"/>
  <c r="G292" i="3"/>
  <c r="G364" i="3"/>
  <c r="G436" i="3"/>
  <c r="G11" i="3"/>
  <c r="G83" i="3"/>
  <c r="G155" i="3"/>
  <c r="G227" i="3"/>
  <c r="G299" i="3"/>
  <c r="G371" i="3"/>
  <c r="G443" i="3"/>
  <c r="G21" i="3"/>
  <c r="G93" i="3"/>
  <c r="G165" i="3"/>
  <c r="G297" i="3"/>
  <c r="G441" i="3"/>
  <c r="G469" i="3"/>
  <c r="G372" i="3"/>
  <c r="G163" i="3"/>
  <c r="G242" i="3"/>
  <c r="G100" i="3"/>
  <c r="G323" i="3"/>
  <c r="G313" i="3"/>
  <c r="G329" i="3"/>
  <c r="G66" i="3"/>
  <c r="G309" i="3"/>
  <c r="G84" i="3"/>
  <c r="G444" i="3"/>
  <c r="G379" i="3"/>
  <c r="G170" i="3"/>
  <c r="G386" i="3"/>
  <c r="G459" i="3"/>
  <c r="G244" i="3"/>
  <c r="G35" i="3"/>
  <c r="G251" i="3"/>
  <c r="G467" i="3"/>
  <c r="G97" i="3"/>
  <c r="G250" i="3"/>
  <c r="G123" i="3"/>
  <c r="G319" i="3"/>
  <c r="G479" i="3"/>
  <c r="G210" i="3"/>
  <c r="G354" i="3"/>
  <c r="G498" i="3"/>
  <c r="G145" i="3"/>
  <c r="G289" i="3"/>
  <c r="G80" i="3"/>
  <c r="G224" i="3"/>
  <c r="G368" i="3"/>
  <c r="G82" i="3"/>
  <c r="G226" i="3"/>
  <c r="G370" i="3"/>
  <c r="G17" i="3"/>
  <c r="G161" i="3"/>
  <c r="G27" i="3"/>
  <c r="G99" i="3"/>
  <c r="G453" i="3"/>
  <c r="G72" i="3"/>
  <c r="G144" i="3"/>
  <c r="G216" i="3"/>
  <c r="G288" i="3"/>
  <c r="G360" i="3"/>
  <c r="G432" i="3"/>
  <c r="G7" i="3"/>
  <c r="G79" i="3"/>
  <c r="G151" i="3"/>
  <c r="G223" i="3"/>
  <c r="G295" i="3"/>
  <c r="G367" i="3"/>
  <c r="G439" i="3"/>
  <c r="G14" i="3"/>
  <c r="G86" i="3"/>
  <c r="G158" i="3"/>
  <c r="G230" i="3"/>
  <c r="G302" i="3"/>
  <c r="G374" i="3"/>
  <c r="G446" i="3"/>
  <c r="G231" i="3"/>
  <c r="G303" i="3"/>
  <c r="G375" i="3"/>
  <c r="G447" i="3"/>
  <c r="G16" i="3"/>
  <c r="G88" i="3"/>
  <c r="G160" i="3"/>
  <c r="G232" i="3"/>
  <c r="G304" i="3"/>
  <c r="G376" i="3"/>
  <c r="G448" i="3"/>
  <c r="G23" i="3"/>
  <c r="G95" i="3"/>
  <c r="G167" i="3"/>
  <c r="G239" i="3"/>
  <c r="G311" i="3"/>
  <c r="G383" i="3"/>
  <c r="G455" i="3"/>
  <c r="G33" i="3"/>
  <c r="G105" i="3"/>
  <c r="G177" i="3"/>
  <c r="G321" i="3"/>
  <c r="G465" i="3"/>
  <c r="G493" i="3"/>
  <c r="G235" i="3"/>
  <c r="G243" i="3"/>
  <c r="G117" i="3"/>
  <c r="G378" i="3"/>
  <c r="G464" i="3"/>
  <c r="G322" i="3"/>
  <c r="G185" i="3"/>
  <c r="G473" i="3"/>
  <c r="G168" i="3"/>
  <c r="G57" i="3"/>
  <c r="G138" i="3"/>
  <c r="G282" i="3"/>
  <c r="G426" i="3"/>
  <c r="G73" i="3"/>
  <c r="G217" i="3"/>
  <c r="G361" i="3"/>
  <c r="G8" i="3"/>
  <c r="G152" i="3"/>
  <c r="G296" i="3"/>
  <c r="G440" i="3"/>
  <c r="G10" i="3"/>
  <c r="G154" i="3"/>
  <c r="G298" i="3"/>
  <c r="G442" i="3"/>
  <c r="G89" i="3"/>
  <c r="G233" i="3"/>
  <c r="G305" i="3"/>
  <c r="G377" i="3"/>
  <c r="G449" i="3"/>
  <c r="G171" i="3"/>
  <c r="G481" i="3"/>
  <c r="G6" i="3"/>
  <c r="G78" i="3"/>
  <c r="G150" i="3"/>
  <c r="G222" i="3"/>
  <c r="G294" i="3"/>
  <c r="G366" i="3"/>
  <c r="G438" i="3"/>
  <c r="G13" i="3"/>
  <c r="G85" i="3"/>
  <c r="G157" i="3"/>
  <c r="G229" i="3"/>
  <c r="G301" i="3"/>
  <c r="G373" i="3"/>
  <c r="G20" i="3"/>
  <c r="G92" i="3"/>
  <c r="G164" i="3"/>
  <c r="G236" i="3"/>
  <c r="G308" i="3"/>
  <c r="G380" i="3"/>
  <c r="G452" i="3"/>
  <c r="G22" i="3"/>
  <c r="G94" i="3"/>
  <c r="G166" i="3"/>
  <c r="G238" i="3"/>
  <c r="G310" i="3"/>
  <c r="G382" i="3"/>
  <c r="G454" i="3"/>
  <c r="G29" i="3"/>
  <c r="G101" i="3"/>
  <c r="G173" i="3"/>
  <c r="G245" i="3"/>
  <c r="G317" i="3"/>
  <c r="G389" i="3"/>
  <c r="G461" i="3"/>
  <c r="G39" i="3"/>
  <c r="G111" i="3"/>
  <c r="G189" i="3"/>
  <c r="G333" i="3"/>
  <c r="G477" i="3"/>
  <c r="G4" i="3" a="1"/>
  <c r="G4" i="3" s="1"/>
  <c r="F390" i="3"/>
  <c r="F156" i="3"/>
  <c r="F85" i="3"/>
  <c r="F498" i="3"/>
  <c r="F56" i="3"/>
  <c r="F488" i="3"/>
  <c r="F67" i="3"/>
  <c r="F424" i="3"/>
  <c r="F159" i="3"/>
  <c r="F141" i="3"/>
  <c r="F412" i="3"/>
  <c r="F226" i="3"/>
  <c r="F403" i="3"/>
  <c r="F227" i="3"/>
  <c r="F382" i="3"/>
  <c r="F112" i="3"/>
  <c r="F371" i="3"/>
  <c r="F331" i="3"/>
  <c r="F100" i="3"/>
  <c r="F221" i="3"/>
  <c r="F50" i="3"/>
  <c r="F352" i="3"/>
  <c r="F120" i="3"/>
  <c r="F194" i="3"/>
  <c r="F93" i="3"/>
  <c r="F174" i="3"/>
  <c r="F146" i="3"/>
  <c r="F384" i="3"/>
  <c r="F423" i="3"/>
  <c r="F171" i="3"/>
  <c r="F218" i="3"/>
  <c r="F247" i="3"/>
  <c r="F392" i="3"/>
  <c r="F268" i="3"/>
  <c r="F492" i="3"/>
  <c r="F418" i="3"/>
  <c r="F425" i="3"/>
  <c r="F333" i="3"/>
  <c r="F138" i="3"/>
  <c r="F139" i="3"/>
  <c r="F453" i="3"/>
  <c r="F11" i="3"/>
  <c r="F448" i="3"/>
  <c r="F43" i="3"/>
  <c r="F183" i="3"/>
  <c r="F34" i="3"/>
  <c r="F30" i="3"/>
  <c r="F361" i="3"/>
  <c r="F125" i="3"/>
  <c r="F294" i="3"/>
  <c r="F479" i="3"/>
  <c r="F375" i="3"/>
  <c r="F489" i="3"/>
  <c r="F328" i="3"/>
  <c r="F376" i="3"/>
  <c r="F283" i="3"/>
  <c r="F284" i="3"/>
  <c r="F105" i="3"/>
  <c r="F469" i="3"/>
  <c r="F334" i="3"/>
  <c r="F90" i="3"/>
  <c r="F285" i="3"/>
  <c r="F73" i="3"/>
  <c r="F189" i="3"/>
  <c r="F327" i="3"/>
  <c r="F106" i="3"/>
  <c r="F354" i="3"/>
  <c r="F467" i="3"/>
  <c r="F79" i="3"/>
  <c r="F395" i="3"/>
  <c r="F239" i="3"/>
  <c r="F237" i="3"/>
  <c r="F104" i="3"/>
  <c r="F468" i="3"/>
  <c r="F62" i="3"/>
  <c r="F433" i="3"/>
  <c r="F330" i="3"/>
  <c r="F318" i="3"/>
  <c r="F32" i="3"/>
  <c r="F46" i="3"/>
  <c r="F101" i="3"/>
  <c r="F482" i="3"/>
  <c r="F410" i="3"/>
  <c r="F128" i="3"/>
  <c r="F416" i="3"/>
  <c r="F55" i="3"/>
  <c r="F65" i="3"/>
  <c r="F434" i="3"/>
  <c r="F289" i="3"/>
  <c r="F188" i="3"/>
  <c r="F387" i="3"/>
  <c r="F322" i="3"/>
  <c r="F123" i="3"/>
  <c r="F301" i="3"/>
  <c r="F370" i="3"/>
  <c r="F279" i="3"/>
  <c r="F80" i="3"/>
  <c r="F286" i="3"/>
  <c r="F97" i="3"/>
  <c r="F27" i="3"/>
  <c r="F233" i="3"/>
  <c r="F389" i="3"/>
  <c r="F270" i="3"/>
  <c r="F207" i="3"/>
  <c r="F99" i="3"/>
  <c r="F472" i="3"/>
  <c r="F471" i="3"/>
  <c r="F350" i="3"/>
  <c r="F299" i="3"/>
  <c r="F261" i="3"/>
  <c r="F399" i="3"/>
  <c r="F269" i="3"/>
  <c r="F332" i="3"/>
  <c r="F340" i="3"/>
  <c r="F122" i="3"/>
  <c r="F365" i="3"/>
  <c r="F317" i="3"/>
  <c r="F455" i="3"/>
  <c r="F103" i="3"/>
  <c r="F98" i="3"/>
  <c r="F320" i="3"/>
  <c r="F169" i="3"/>
  <c r="F69" i="3"/>
  <c r="F165" i="3"/>
  <c r="F195" i="3"/>
  <c r="F478" i="3"/>
  <c r="F428" i="3"/>
  <c r="F414" i="3"/>
  <c r="F450" i="3"/>
  <c r="F267" i="3"/>
  <c r="F500" i="3"/>
  <c r="F372" i="3"/>
  <c r="F87" i="3"/>
  <c r="F220" i="3"/>
  <c r="F6" i="3"/>
  <c r="F306" i="3"/>
  <c r="F413" i="3"/>
  <c r="F359" i="3"/>
  <c r="F88" i="3"/>
  <c r="F473" i="3"/>
  <c r="F126" i="3"/>
  <c r="F348" i="3"/>
  <c r="F447" i="3"/>
  <c r="F253" i="3"/>
  <c r="F426" i="3"/>
  <c r="F362" i="3"/>
  <c r="F449" i="3"/>
  <c r="F212" i="3"/>
  <c r="F121" i="3"/>
  <c r="F175" i="3"/>
  <c r="F367" i="3"/>
  <c r="F116" i="3"/>
  <c r="F198" i="3"/>
  <c r="F259" i="3"/>
  <c r="F216" i="3"/>
  <c r="F484" i="3"/>
  <c r="F383" i="3"/>
  <c r="F355" i="3"/>
  <c r="F430" i="3"/>
  <c r="F95" i="3"/>
  <c r="F187" i="3"/>
  <c r="F341" i="3"/>
  <c r="F464" i="3"/>
  <c r="F256" i="3"/>
  <c r="F235" i="3"/>
  <c r="F336" i="3"/>
  <c r="F446" i="3"/>
  <c r="F5" i="3"/>
  <c r="F53" i="3"/>
  <c r="F217" i="3"/>
  <c r="F176" i="3"/>
  <c r="F491" i="3"/>
  <c r="F245" i="3"/>
  <c r="F84" i="3"/>
  <c r="F172" i="3"/>
  <c r="F108" i="3"/>
  <c r="F142" i="3"/>
  <c r="F113" i="3"/>
  <c r="F129" i="3"/>
  <c r="F401" i="3"/>
  <c r="F422" i="3"/>
  <c r="F347" i="3"/>
  <c r="F266" i="3"/>
  <c r="F213" i="3"/>
  <c r="F308" i="3"/>
  <c r="F157" i="3"/>
  <c r="F377" i="3"/>
  <c r="F486" i="3"/>
  <c r="F145" i="3"/>
  <c r="F60" i="3"/>
  <c r="F357" i="3"/>
  <c r="F248" i="3"/>
  <c r="F445" i="3"/>
  <c r="F26" i="3"/>
  <c r="F454" i="3"/>
  <c r="F456" i="3"/>
  <c r="F291" i="3"/>
  <c r="F52" i="3"/>
  <c r="F271" i="3"/>
  <c r="F303" i="3"/>
  <c r="F96" i="3"/>
  <c r="F51" i="3"/>
  <c r="F257" i="3"/>
  <c r="F276" i="3"/>
  <c r="F258" i="3"/>
  <c r="F193" i="3"/>
  <c r="F168" i="3"/>
  <c r="F298" i="3"/>
  <c r="F244" i="3"/>
  <c r="F136" i="3"/>
  <c r="F388" i="3"/>
  <c r="F149" i="3"/>
  <c r="F339" i="3"/>
  <c r="F39" i="3"/>
  <c r="F349" i="3"/>
  <c r="F404" i="3"/>
  <c r="F326" i="3"/>
  <c r="F264" i="3"/>
  <c r="F398" i="3"/>
  <c r="F476" i="3"/>
  <c r="F7" i="3"/>
  <c r="F483" i="3"/>
  <c r="F302" i="3"/>
  <c r="F184" i="3"/>
  <c r="F180" i="3"/>
  <c r="F419" i="3"/>
  <c r="F325" i="3"/>
  <c r="F353" i="3"/>
  <c r="F153" i="3"/>
  <c r="F400" i="3"/>
  <c r="F379" i="3"/>
  <c r="F31" i="3"/>
  <c r="F391" i="3"/>
  <c r="F197" i="3"/>
  <c r="F452" i="3"/>
  <c r="F437" i="3"/>
  <c r="F290" i="3"/>
  <c r="F4" i="3"/>
  <c r="F181" i="3"/>
  <c r="F133" i="3"/>
  <c r="F429" i="3"/>
  <c r="F231" i="3"/>
  <c r="F81" i="3"/>
  <c r="F131" i="3"/>
  <c r="F208" i="3"/>
  <c r="F135" i="3"/>
  <c r="F148" i="3"/>
  <c r="F397" i="3"/>
  <c r="F315" i="3"/>
  <c r="F54" i="3"/>
  <c r="F205" i="3"/>
  <c r="F161" i="3"/>
  <c r="F224" i="3"/>
  <c r="F297" i="3"/>
  <c r="F77" i="3"/>
  <c r="F463" i="3"/>
  <c r="F203" i="3"/>
  <c r="F296" i="3"/>
  <c r="F82" i="3"/>
  <c r="F158" i="3"/>
  <c r="F20" i="3"/>
  <c r="F18" i="3"/>
  <c r="F71" i="3"/>
  <c r="F45" i="3"/>
  <c r="F91" i="3"/>
  <c r="F199" i="3"/>
  <c r="F215" i="3"/>
  <c r="F497" i="3"/>
  <c r="F406" i="3"/>
  <c r="F470" i="3"/>
  <c r="F70" i="3"/>
  <c r="F421" i="3"/>
  <c r="F192" i="3"/>
  <c r="F147" i="3"/>
  <c r="F40" i="3"/>
  <c r="F163" i="3"/>
  <c r="F312" i="3"/>
  <c r="F378" i="3"/>
  <c r="F436" i="3"/>
  <c r="F144" i="3"/>
  <c r="F493" i="3"/>
  <c r="F74" i="3"/>
  <c r="F24" i="3"/>
  <c r="F22" i="3"/>
  <c r="F262" i="3"/>
  <c r="F272" i="3"/>
  <c r="F242" i="3"/>
  <c r="F23" i="3"/>
  <c r="F230" i="3"/>
  <c r="F109" i="3"/>
  <c r="F209" i="3"/>
  <c r="F254" i="3"/>
  <c r="F201" i="3"/>
  <c r="F300" i="3"/>
  <c r="F374" i="3"/>
  <c r="F282" i="3"/>
  <c r="F393" i="3"/>
  <c r="F58" i="3"/>
  <c r="F474" i="3"/>
  <c r="F280" i="3"/>
  <c r="F385" i="3"/>
  <c r="F442" i="3"/>
  <c r="F321" i="3"/>
  <c r="F234" i="3"/>
  <c r="F204" i="3"/>
  <c r="F460" i="3"/>
  <c r="F481" i="3"/>
  <c r="F402" i="3"/>
  <c r="F137" i="3"/>
  <c r="F345" i="3"/>
  <c r="F273" i="3"/>
  <c r="F177" i="3"/>
  <c r="F240" i="3"/>
  <c r="F381" i="3"/>
  <c r="F14" i="3"/>
  <c r="F368" i="3"/>
  <c r="F127" i="3"/>
  <c r="F438" i="3"/>
  <c r="F265" i="3"/>
  <c r="F363" i="3"/>
  <c r="F92" i="3"/>
  <c r="F8" i="3"/>
  <c r="F360" i="3"/>
  <c r="F293" i="3"/>
  <c r="F119" i="3"/>
  <c r="F246" i="3"/>
  <c r="F485" i="3"/>
  <c r="F252" i="3"/>
  <c r="F134" i="3"/>
  <c r="F15" i="3"/>
  <c r="F16" i="3"/>
  <c r="F130" i="3"/>
  <c r="F76" i="3"/>
  <c r="F439" i="3"/>
  <c r="F344" i="3"/>
  <c r="F179" i="3"/>
  <c r="F83" i="3"/>
  <c r="F48" i="3"/>
  <c r="F196" i="3"/>
  <c r="F415" i="3"/>
  <c r="F494" i="3"/>
  <c r="F314" i="3"/>
  <c r="F59" i="3"/>
  <c r="F343" i="3"/>
  <c r="F41" i="3"/>
  <c r="F173" i="3"/>
  <c r="F107" i="3"/>
  <c r="F281" i="3"/>
  <c r="F143" i="3"/>
  <c r="F351" i="3"/>
  <c r="F211" i="3"/>
  <c r="F394" i="3"/>
  <c r="F386" i="3"/>
  <c r="F200" i="3"/>
  <c r="F496" i="3"/>
  <c r="F457" i="3"/>
  <c r="F249" i="3"/>
  <c r="F441" i="3"/>
  <c r="F28" i="3"/>
  <c r="F356" i="3"/>
  <c r="F202" i="3"/>
  <c r="F3" i="3"/>
  <c r="F164" i="3"/>
  <c r="F29" i="3"/>
  <c r="F124" i="3"/>
  <c r="F499" i="3"/>
  <c r="F420" i="3"/>
  <c r="F47" i="3"/>
  <c r="F170" i="3"/>
  <c r="F37" i="3"/>
  <c r="F13" i="3"/>
  <c r="F480" i="3"/>
  <c r="F278" i="3"/>
  <c r="F329" i="3"/>
  <c r="F152" i="3"/>
  <c r="F111" i="3"/>
  <c r="F63" i="3"/>
  <c r="F305" i="3"/>
  <c r="F10" i="3"/>
  <c r="F304" i="3"/>
  <c r="F225" i="3"/>
  <c r="F12" i="3"/>
  <c r="F260" i="3"/>
  <c r="F431" i="3"/>
  <c r="F250" i="3"/>
  <c r="F154" i="3"/>
  <c r="F9" i="3"/>
  <c r="F86" i="3"/>
  <c r="F132" i="3"/>
  <c r="F310" i="3"/>
  <c r="F319" i="3"/>
  <c r="F443" i="3"/>
  <c r="F432" i="3"/>
  <c r="F366" i="3"/>
  <c r="F94" i="3"/>
  <c r="F307" i="3"/>
  <c r="F238" i="3"/>
  <c r="F255" i="3"/>
  <c r="F466" i="3"/>
  <c r="F338" i="3"/>
  <c r="F185" i="3"/>
  <c r="F191" i="3"/>
  <c r="F405" i="3"/>
  <c r="F155" i="3"/>
  <c r="F337" i="3"/>
  <c r="F373" i="3"/>
  <c r="F17" i="3"/>
  <c r="F38" i="3"/>
  <c r="F358" i="3"/>
  <c r="F292" i="3"/>
  <c r="F72" i="3"/>
  <c r="F66" i="3"/>
  <c r="F324" i="3"/>
  <c r="F487" i="3"/>
  <c r="F475" i="3"/>
  <c r="F75" i="3"/>
  <c r="F25" i="3"/>
  <c r="F49" i="3"/>
  <c r="F451" i="3"/>
  <c r="F411" i="3"/>
  <c r="F288" i="3"/>
  <c r="F61" i="3"/>
  <c r="F309" i="3"/>
  <c r="F462" i="3"/>
  <c r="F222" i="3"/>
  <c r="F42" i="3"/>
  <c r="F243" i="3"/>
  <c r="F186" i="3"/>
  <c r="F110" i="3"/>
  <c r="F115" i="3"/>
  <c r="F444" i="3"/>
  <c r="F241" i="3"/>
  <c r="F477" i="3"/>
  <c r="F182" i="3"/>
  <c r="F274" i="3"/>
  <c r="F417" i="3"/>
  <c r="F313" i="3"/>
  <c r="F162" i="3"/>
  <c r="F461" i="3"/>
  <c r="F435" i="3"/>
  <c r="F232" i="3"/>
  <c r="F2" i="3"/>
  <c r="F35" i="3"/>
  <c r="F36" i="3"/>
  <c r="F118" i="3"/>
  <c r="F64" i="3"/>
  <c r="F78" i="3"/>
  <c r="F311" i="3"/>
  <c r="F495" i="3"/>
  <c r="F263" i="3"/>
  <c r="F166" i="3"/>
  <c r="F440" i="3"/>
  <c r="F214" i="3"/>
  <c r="F19" i="3"/>
  <c r="F160" i="3"/>
  <c r="F346" i="3"/>
  <c r="F117" i="3"/>
  <c r="F151" i="3"/>
  <c r="F114" i="3"/>
  <c r="F465" i="3"/>
  <c r="F206" i="3"/>
  <c r="F335" i="3"/>
  <c r="F427" i="3"/>
  <c r="F228" i="3"/>
  <c r="F407" i="3"/>
  <c r="F21" i="3"/>
  <c r="F190" i="3"/>
  <c r="F219" i="3"/>
  <c r="F458" i="3"/>
  <c r="F316" i="3"/>
  <c r="F275" i="3"/>
  <c r="F490" i="3"/>
  <c r="F369" i="3"/>
  <c r="F57" i="3"/>
  <c r="F295" i="3"/>
  <c r="F229" i="3"/>
  <c r="F89" i="3"/>
  <c r="F459" i="3"/>
  <c r="F167" i="3"/>
  <c r="F68" i="3"/>
  <c r="F287" i="3"/>
  <c r="F409" i="3"/>
  <c r="F150" i="3"/>
  <c r="F364" i="3"/>
  <c r="F223" i="3"/>
  <c r="F251" i="3"/>
  <c r="F33" i="3"/>
  <c r="F210" i="3"/>
  <c r="F408" i="3"/>
  <c r="F236" i="3"/>
  <c r="F323" i="3"/>
  <c r="F396" i="3"/>
  <c r="F178" i="3"/>
  <c r="F277" i="3"/>
  <c r="F342" i="3"/>
  <c r="F44" i="3"/>
  <c r="F380" i="3"/>
  <c r="F140" i="3"/>
  <c r="F10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<sst xmlns="http://schemas.openxmlformats.org/spreadsheetml/2006/main" count="9" uniqueCount="9">
  <si>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NOME</t>
  </si>
  <si>
    <t>CATEGORIA</t>
  </si>
  <si>
    <t>TEMPO</t>
  </si>
  <si>
    <t>DIFERENÇA</t>
  </si>
  <si>
    <t>Largada</t>
  </si>
  <si>
    <t>Chegada</t>
  </si>
  <si>
    <t>N°</t>
  </si>
  <si>
    <t>N°S</t>
  </si>
  <si>
    <t>Soma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</si>
</sst>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2"/>
      <color rgb="FF000000"/>
      <name val="Miriam Mono CLM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18364058-24D9-47F4-8E35-3F679F344D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2</xdr:row>
          <xdr:rowOff>106680</xdr:rowOff>
        </xdr:from>
        <xdr:to>
          <xdr:col>13</xdr:col>
          <xdr:colOff>236220</xdr:colOff>
          <xdr:row>7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Miriam Mono CLM"/>
                </a:rPr>
                <a:t>CALCULAR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8</xdr:row>
          <xdr:rowOff>129540</xdr:rowOff>
        </xdr:from>
        <xdr:to>
          <xdr:col>13</xdr:col>
          <xdr:colOff>236220</xdr:colOff>
          <xdr:row>14</xdr:row>
          <xdr:rowOff>68580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Escolha a especial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563880</xdr:colOff>
          <xdr:row>16</xdr:row>
          <xdr:rowOff>0</xdr:rowOff>
        </xdr:from>
        <xdr:to>
          <xdr:col>13</xdr:col>
          <xdr:colOff>236220</xdr:colOff>
          <xdr:row>22</xdr:row>
          <xdr:rowOff>106680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F9E24-BE67-48B3-9417-D70B11470EBC}" name="Tabela1" displayName="Tabela1" ref="A1:I500" totalsRowShown="0" headerRowDxfId="10" dataDxfId="9">
  <autoFilter ref="A1:I500" xr:uid="{2AEF9E24-BE67-48B3-9417-D70B11470EBC}"/>
  <sortState xmlns:xlrd2="http://schemas.microsoft.com/office/spreadsheetml/2017/richdata2" ref="A2:I1048576">
    <sortCondition descending="1" ref="A2:A1048576"/>
  </sortState>
  <tableColumns count="9">
    <tableColumn id="1" xr3:uid="{9C804CB6-40DD-405A-9F0D-630B356631DC}" name="NOME" dataDxfId="8"/>
    <tableColumn id="2" xr3:uid="{36064455-A792-4579-BD9D-985721CAA71C}" name="CATEGORIA" dataDxfId="7"/>
    <tableColumn id="3" xr3:uid="{CFDE1D4F-BED8-4721-A694-495DC32A121B}" name="N°S" dataDxfId="6"/>
    <tableColumn id="9" xr3:uid="{E29BABB5-209D-406F-839E-67399A066F1A}" name="N°" dataDxfId="5">
      <calculatedColumnFormula>IFERROR(LEFT(Tabela1[[#This Row],[N°S]],LEN(Tabela1[[#This Row],[N°S]])-1),"")</calculatedColumnFormula>
    </tableColumn>
    <tableColumn id="4" xr3:uid="{BA05D52B-6EC9-408D-9401-FFFBEBD033DC}" name="TEMPO" dataDxfId="4">
      <calculatedColumnFormula array="1">IFERROR(time_diff_cor(Tabela1[[#This Row],[Largada]],Tabela1[[#This Row],[Chegada]]),"00:20:00:000")</calculatedColumnFormula>
    </tableColumn>
    <tableColumn id="5" xr3:uid="{7D71F547-2981-4264-9A9E-30E65118531E}" name="DIFERENÇA" dataDxfId="3">
      <calculatedColumnFormula array="1">IFERROR(time_diff(Tabela1[[#This Row],[TEMPO]],E1),"00:00:00:000")</calculatedColumnFormula>
    </tableColumn>
    <tableColumn id="8" xr3:uid="{5182BE2A-5D12-4199-8864-973B4679E192}" name="Soma" dataDxfId="0">
      <calculatedColumnFormula array="1">IF(Tabela1[[#This Row],[N°]]=D1,time_sum(Tabela1[[#This Row],[TEMPO]],E1),Tabela1[[#This Row],[TEMPO]])</calculatedColumnFormula>
    </tableColumn>
    <tableColumn id="6" xr3:uid="{7F8351BE-593B-4983-AE6D-BA380ADCF5FB}" name="Largada" dataDxfId="2">
      <calculatedColumnFormula>VLOOKUP(C2,LARGADA!A:B,2,FALSE)</calculatedColumnFormula>
    </tableColumn>
    <tableColumn id="7" xr3:uid="{52BDCF59-DC80-498E-BF6C-39DE1B92B683}" name="Chegada" dataDxfId="1">
      <calculatedColumnFormula>VLOOKUP(C2,CHEGADA!A:B,2,FALSE)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0F89-297A-45D7-8AE7-8E00DDC7AC7A}">
  <sheetPr codeName="Planilha2"/>
  <dimension ref="A1"/>
  <sheetViews>
    <sheetView workbookViewId="0">
      <selection activeCell="C3" sqref="C3"/>
    </sheetView>
  </sheetViews>
  <sheetFormatPr defaultRowHeight="14.4"/>
  <sheetData/>
  <sortState xmlns:xlrd2="http://schemas.microsoft.com/office/spreadsheetml/2017/richdata2" ref="A1:B24">
    <sortCondition ref="A1:A500"/>
  </sortState>
  <pageMargins left="0.511811024" right="0.511811024" top="0.78740157499999996" bottom="0.78740157499999996" header="0.31496062000000002" footer="0.31496062000000002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9775E-9DC7-48DD-B3C6-9F6D2AFC08B0}">
  <sheetPr codeName="Planilha1"/>
  <dimension ref="A1"/>
  <sheetViews>
    <sheetView workbookViewId="0">
      <selection sqref="A1:B24"/>
    </sheetView>
  </sheetViews>
  <sheetFormatPr defaultRowHeight="14.4"/>
  <sheetData/>
  <sortState xmlns:xlrd2="http://schemas.microsoft.com/office/spreadsheetml/2017/richdata2" ref="A1:B24">
    <sortCondition ref="A1:A500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9B9E5-CE67-43DC-8753-ED82E7C4D51B}">
  <sheetPr codeName="Planilha3">
    <pageSetUpPr fitToPage="1"/>
  </sheetPr>
  <dimension ref="A1:I500"/>
  <sheetViews>
    <sheetView tabSelected="1" workbookViewId="0">
      <selection activeCell="D4" sqref="D4"/>
    </sheetView>
  </sheetViews>
  <sheetFormatPr defaultRowHeight="14.4"/>
  <cols>
    <col min="1" max="1" width="10.88671875" style="2" bestFit="1" customWidth="1"/>
    <col min="2" max="2" width="13" style="1" customWidth="1"/>
    <col min="3" max="3" width="5.21875" style="2" bestFit="1" customWidth="1"/>
    <col min="4" max="4" width="5.21875" style="2" customWidth="1"/>
    <col min="5" max="5" width="11.6640625" style="1" bestFit="1" customWidth="1"/>
    <col min="6" max="6" width="12.6640625" style="1" bestFit="1" customWidth="1"/>
    <col min="7" max="7" width="12.6640625" style="1" customWidth="1"/>
    <col min="8" max="9" width="12.109375" style="1" bestFit="1" customWidth="1"/>
    <col min="10" max="16384" width="8.88671875" style="1"/>
  </cols>
  <sheetData>
    <row r="1" spans="1:9">
      <c r="A1" s="2" t="s">
        <v>0</v>
      </c>
      <c r="B1" s="1" t="s">
        <v>1</v>
      </c>
      <c r="C1" s="2" t="s">
        <v>7</v>
      </c>
      <c r="D1" s="2" t="s">
        <v>6</v>
      </c>
      <c r="E1" s="1" t="s">
        <v>2</v>
      </c>
      <c r="F1" s="1" t="s">
        <v>3</v>
      </c>
      <c r="G1" s="1" t="s">
        <v>8</v>
      </c>
      <c r="H1" s="1" t="s">
        <v>4</v>
      </c>
      <c r="I1" s="1" t="s">
        <v>5</v>
      </c>
    </row>
    <row r="2" spans="1:9">
      <c r="E2" s="1" t="str" cm="1">
        <f t="array" ref="E2">IFERROR(time_diff_cor(Tabela1[[#This Row],[Largada]],Tabela1[[#This Row],[Chegada]]),"00:20:00:000")</f>
        <v>00:20:00:000</v>
      </c>
      <c r="F2" s="1" t="str" cm="1">
        <f t="array" ref="F2">IFERROR(time_diff(Tabela1[[#This Row],[TEMPO]],E1),"00:00:00:000")</f>
        <v>00:00:00:000</v>
      </c>
      <c r="G2" s="1" t="str" cm="1">
        <f t="array" aca="1" ref="G2" ca="1">IF(Tabela1[[#This Row],[N°]]=D1,time_sum(Tabela1[[#This Row],[TEMPO]],E1),Tabela1[[#This Row],[TEMPO]])</f>
        <v>00:20:00:000</v>
      </c>
      <c r="H2" s="1" t="e">
        <f>VLOOKUP(C2,LARGADA!A:B,2,FALSE)</f>
        <v>#N/A</v>
      </c>
      <c r="I2" s="1" t="e">
        <f>VLOOKUP(C2,CHEGADA!A:B,2,FALSE)</f>
        <v>#N/A</v>
      </c>
    </row>
    <row r="3" spans="1:9">
      <c r="E3" s="1" t="str" cm="1">
        <f t="array" ref="E3">IFERROR(time_diff_cor(Tabela1[[#This Row],[Largada]],Tabela1[[#This Row],[Chegada]]),"00:20:00:000")</f>
        <v>00:20:00:000</v>
      </c>
      <c r="F3" s="1" t="str" cm="1">
        <f t="array" ref="F3">IFERROR(time_diff(Tabela1[[#This Row],[TEMPO]],E2),"00:00:00:000")</f>
        <v>00:00:00:00</v>
      </c>
      <c r="G3" s="1" t="str" cm="1">
        <f t="array" aca="1" ref="G3" ca="1">IF(Tabela1[[#This Row],[N°]]=D2,time_sum(Tabela1[[#This Row],[TEMPO]],E2),Tabela1[[#This Row],[TEMPO]])</f>
        <v>00:20:00:000</v>
      </c>
      <c r="H3" s="1" t="e">
        <f>VLOOKUP(C3,LARGADA!A:B,2,FALSE)</f>
        <v>#N/A</v>
      </c>
      <c r="I3" s="1" t="e">
        <f>VLOOKUP(C3,CHEGADA!A:B,2,FALSE)</f>
        <v>#N/A</v>
      </c>
    </row>
    <row r="4" spans="1:9">
      <c r="D4" s="2" t="str">
        <f>IFERROR(LEFT(Tabela1[[#This Row],[N°S]],LEN(Tabela1[[#This Row],[N°S]])-1),"")</f>
        <v/>
      </c>
      <c r="E4" s="1" t="str" cm="1">
        <f t="array" ref="E4">IFERROR(time_diff_cor(Tabela1[[#This Row],[Largada]],Tabela1[[#This Row],[Chegada]]),"00:20:00:000")</f>
        <v>00:20:00:000</v>
      </c>
      <c r="F4" s="1" t="str" cm="1">
        <f t="array" ref="F4">IFERROR(time_diff(Tabela1[[#This Row],[TEMPO]],E3),"00:00:00:000")</f>
        <v>00:00:00:00</v>
      </c>
      <c r="G4" s="1" t="str" cm="1">
        <f t="array" aca="1" ref="G4" ca="1">IF(Tabela1[[#This Row],[N°]]=D3,time_sum(Tabela1[[#This Row],[TEMPO]],E3),Tabela1[[#This Row],[TEMPO]])</f>
        <v>00:20:00:000</v>
      </c>
      <c r="H4" s="1" t="e">
        <f>VLOOKUP(C4,LARGADA!A:B,2,FALSE)</f>
        <v>#N/A</v>
      </c>
      <c r="I4" s="1" t="e">
        <f>VLOOKUP(C4,CHEGADA!A:B,2,FALSE)</f>
        <v>#N/A</v>
      </c>
    </row>
    <row r="5" spans="1:9">
      <c r="D5" s="2" t="str">
        <f>IFERROR(LEFT(Tabela1[[#This Row],[N°S]],LEN(Tabela1[[#This Row],[N°S]])-1),"")</f>
        <v/>
      </c>
      <c r="E5" s="1" t="str" cm="1">
        <f t="array" ref="E5">IFERROR(time_diff_cor(Tabela1[[#This Row],[Largada]],Tabela1[[#This Row],[Chegada]]),"00:20:00:000")</f>
        <v>00:20:00:000</v>
      </c>
      <c r="F5" s="1" t="str" cm="1">
        <f t="array" ref="F5">IFERROR(time_diff(Tabela1[[#This Row],[TEMPO]],E4),"00:00:00:000")</f>
        <v>00:00:00:00</v>
      </c>
      <c r="G5" s="1" t="str" cm="1">
        <f t="array" aca="1" ref="G5" ca="1">IF(Tabela1[[#This Row],[N°]]=D4,time_sum(Tabela1[[#This Row],[TEMPO]],E4),Tabela1[[#This Row],[TEMPO]])</f>
        <v>00:40:00:000</v>
      </c>
      <c r="H5" s="1" t="e">
        <f>VLOOKUP(C5,LARGADA!A:B,2,FALSE)</f>
        <v>#N/A</v>
      </c>
      <c r="I5" s="1" t="e">
        <f>VLOOKUP(C5,CHEGADA!A:B,2,FALSE)</f>
        <v>#N/A</v>
      </c>
    </row>
    <row r="6" spans="1:9">
      <c r="D6" s="2" t="str">
        <f>IFERROR(LEFT(Tabela1[[#This Row],[N°S]],LEN(Tabela1[[#This Row],[N°S]])-1),"")</f>
        <v/>
      </c>
      <c r="E6" s="1" t="str" cm="1">
        <f t="array" ref="E6">IFERROR(time_diff_cor(Tabela1[[#This Row],[Largada]],Tabela1[[#This Row],[Chegada]]),"00:20:00:000")</f>
        <v>00:20:00:000</v>
      </c>
      <c r="F6" s="1" t="str" cm="1">
        <f t="array" ref="F6">IFERROR(time_diff(Tabela1[[#This Row],[TEMPO]],E5),"00:00:00:000")</f>
        <v>00:00:00:00</v>
      </c>
      <c r="G6" s="1" t="str" cm="1">
        <f t="array" aca="1" ref="G6" ca="1">IF(Tabela1[[#This Row],[N°]]=D5,time_sum(Tabela1[[#This Row],[TEMPO]],E5),Tabela1[[#This Row],[TEMPO]])</f>
        <v>00:40:00:000</v>
      </c>
      <c r="H6" s="1" t="e">
        <f>VLOOKUP(C6,LARGADA!A:B,2,FALSE)</f>
        <v>#N/A</v>
      </c>
      <c r="I6" s="1" t="e">
        <f>VLOOKUP(C6,CHEGADA!A:B,2,FALSE)</f>
        <v>#N/A</v>
      </c>
    </row>
    <row r="7" spans="1:9">
      <c r="D7" s="2" t="str">
        <f>IFERROR(LEFT(Tabela1[[#This Row],[N°S]],LEN(Tabela1[[#This Row],[N°S]])-1),"")</f>
        <v/>
      </c>
      <c r="E7" s="1" t="str" cm="1">
        <f t="array" ref="E7">IFERROR(time_diff_cor(Tabela1[[#This Row],[Largada]],Tabela1[[#This Row],[Chegada]]),"00:20:00:000")</f>
        <v>00:20:00:000</v>
      </c>
      <c r="F7" s="1" t="str" cm="1">
        <f t="array" ref="F7">IFERROR(time_diff(Tabela1[[#This Row],[TEMPO]],E6),"00:00:00:000")</f>
        <v>00:00:00:00</v>
      </c>
      <c r="G7" s="1" t="str" cm="1">
        <f t="array" aca="1" ref="G7" ca="1">IF(Tabela1[[#This Row],[N°]]=D6,time_sum(Tabela1[[#This Row],[TEMPO]],E6),Tabela1[[#This Row],[TEMPO]])</f>
        <v>00:40:00:000</v>
      </c>
      <c r="H7" s="1" t="e">
        <f>VLOOKUP(C7,LARGADA!A:B,2,FALSE)</f>
        <v>#N/A</v>
      </c>
      <c r="I7" s="1" t="e">
        <f>VLOOKUP(C7,CHEGADA!A:B,2,FALSE)</f>
        <v>#N/A</v>
      </c>
    </row>
    <row r="8" spans="1:9">
      <c r="D8" s="2" t="str">
        <f>IFERROR(LEFT(Tabela1[[#This Row],[N°S]],LEN(Tabela1[[#This Row],[N°S]])-1),"")</f>
        <v/>
      </c>
      <c r="E8" s="1" t="str" cm="1">
        <f t="array" ref="E8">IFERROR(time_diff_cor(Tabela1[[#This Row],[Largada]],Tabela1[[#This Row],[Chegada]]),"00:20:00:000")</f>
        <v>00:20:00:000</v>
      </c>
      <c r="F8" s="1" t="str" cm="1">
        <f t="array" ref="F8">IFERROR(time_diff(Tabela1[[#This Row],[TEMPO]],E7),"00:00:00:000")</f>
        <v>00:00:00:00</v>
      </c>
      <c r="G8" s="1" t="str" cm="1">
        <f t="array" aca="1" ref="G8" ca="1">IF(Tabela1[[#This Row],[N°]]=D7,time_sum(Tabela1[[#This Row],[TEMPO]],E7),Tabela1[[#This Row],[TEMPO]])</f>
        <v>00:40:00:000</v>
      </c>
      <c r="H8" s="1" t="e">
        <f>VLOOKUP(C8,LARGADA!A:B,2,FALSE)</f>
        <v>#N/A</v>
      </c>
      <c r="I8" s="1" t="e">
        <f>VLOOKUP(C8,CHEGADA!A:B,2,FALSE)</f>
        <v>#N/A</v>
      </c>
    </row>
    <row r="9" spans="1:9">
      <c r="D9" s="2" t="str">
        <f>IFERROR(LEFT(Tabela1[[#This Row],[N°S]],LEN(Tabela1[[#This Row],[N°S]])-1),"")</f>
        <v/>
      </c>
      <c r="E9" s="1" t="str" cm="1">
        <f t="array" ref="E9">IFERROR(time_diff_cor(Tabela1[[#This Row],[Largada]],Tabela1[[#This Row],[Chegada]]),"00:20:00:000")</f>
        <v>00:20:00:000</v>
      </c>
      <c r="F9" s="1" t="str" cm="1">
        <f t="array" ref="F9">IFERROR(time_diff(Tabela1[[#This Row],[TEMPO]],E8),"00:00:00:000")</f>
        <v>00:00:00:00</v>
      </c>
      <c r="G9" s="1" t="str" cm="1">
        <f t="array" aca="1" ref="G9" ca="1">IF(Tabela1[[#This Row],[N°]]=D8,time_sum(Tabela1[[#This Row],[TEMPO]],E8),Tabela1[[#This Row],[TEMPO]])</f>
        <v>00:40:00:000</v>
      </c>
      <c r="H9" s="1" t="e">
        <f>VLOOKUP(C9,LARGADA!A:B,2,FALSE)</f>
        <v>#N/A</v>
      </c>
      <c r="I9" s="1" t="e">
        <f>VLOOKUP(C9,CHEGADA!A:B,2,FALSE)</f>
        <v>#N/A</v>
      </c>
    </row>
    <row r="10" spans="1:9">
      <c r="C10" s="3"/>
      <c r="D10" s="3" t="str">
        <f>IFERROR(LEFT(Tabela1[[#This Row],[N°S]],LEN(Tabela1[[#This Row],[N°S]])-1),"")</f>
        <v/>
      </c>
      <c r="E10" s="1" t="str" cm="1">
        <f t="array" ref="E10">IFERROR(time_diff_cor(Tabela1[[#This Row],[Largada]],Tabela1[[#This Row],[Chegada]]),"00:20:00:000")</f>
        <v>00:20:00:000</v>
      </c>
      <c r="F10" s="1" t="str" cm="1">
        <f t="array" ref="F10">IFERROR(time_diff(Tabela1[[#This Row],[TEMPO]],E9),"00:00:00:000")</f>
        <v>00:00:00:00</v>
      </c>
      <c r="G10" s="1" t="str" cm="1">
        <f t="array" aca="1" ref="G10" ca="1">IF(Tabela1[[#This Row],[N°]]=D9,time_sum(Tabela1[[#This Row],[TEMPO]],E9),Tabela1[[#This Row],[TEMPO]])</f>
        <v>00:40:00:000</v>
      </c>
      <c r="H10" s="1" t="e">
        <f>VLOOKUP(C10,LARGADA!A:B,2,FALSE)</f>
        <v>#N/A</v>
      </c>
      <c r="I10" s="1" t="e">
        <f>VLOOKUP(C10,CHEGADA!A:B,2,FALSE)</f>
        <v>#N/A</v>
      </c>
    </row>
    <row r="11" spans="1:9">
      <c r="D11" s="2" t="str">
        <f>IFERROR(LEFT(Tabela1[[#This Row],[N°S]],LEN(Tabela1[[#This Row],[N°S]])-1),"")</f>
        <v/>
      </c>
      <c r="E11" s="1" t="str" cm="1">
        <f t="array" ref="E11">IFERROR(time_diff_cor(Tabela1[[#This Row],[Largada]],Tabela1[[#This Row],[Chegada]]),"00:20:00:000")</f>
        <v>00:20:00:000</v>
      </c>
      <c r="F11" s="1" t="str" cm="1">
        <f t="array" ref="F11">IFERROR(time_diff(Tabela1[[#This Row],[TEMPO]],E10),"00:00:00:000")</f>
        <v>00:00:00:00</v>
      </c>
      <c r="G11" s="1" t="str" cm="1">
        <f t="array" aca="1" ref="G11" ca="1">IF(Tabela1[[#This Row],[N°]]=D10,time_sum(Tabela1[[#This Row],[TEMPO]],E10),Tabela1[[#This Row],[TEMPO]])</f>
        <v>00:40:00:000</v>
      </c>
      <c r="H11" s="1" t="e">
        <f>VLOOKUP(C11,LARGADA!A:B,2,FALSE)</f>
        <v>#N/A</v>
      </c>
      <c r="I11" s="1" t="e">
        <f>VLOOKUP(C11,CHEGADA!A:B,2,FALSE)</f>
        <v>#N/A</v>
      </c>
    </row>
    <row r="12" spans="1:9">
      <c r="D12" s="2" t="str">
        <f>IFERROR(LEFT(Tabela1[[#This Row],[N°S]],LEN(Tabela1[[#This Row],[N°S]])-1),"")</f>
        <v/>
      </c>
      <c r="E12" s="1" t="str" cm="1">
        <f t="array" ref="E12">IFERROR(time_diff_cor(Tabela1[[#This Row],[Largada]],Tabela1[[#This Row],[Chegada]]),"00:20:00:000")</f>
        <v>00:20:00:000</v>
      </c>
      <c r="F12" s="1" t="str" cm="1">
        <f t="array" ref="F12">IFERROR(time_diff(Tabela1[[#This Row],[TEMPO]],E11),"00:00:00:000")</f>
        <v>00:00:00:00</v>
      </c>
      <c r="G12" s="1" t="str" cm="1">
        <f t="array" aca="1" ref="G12" ca="1">IF(Tabela1[[#This Row],[N°]]=D11,time_sum(Tabela1[[#This Row],[TEMPO]],E11),Tabela1[[#This Row],[TEMPO]])</f>
        <v>00:40:00:000</v>
      </c>
      <c r="H12" s="1" t="e">
        <f>VLOOKUP(C12,LARGADA!A:B,2,FALSE)</f>
        <v>#N/A</v>
      </c>
      <c r="I12" s="1" t="e">
        <f>VLOOKUP(C12,CHEGADA!A:B,2,FALSE)</f>
        <v>#N/A</v>
      </c>
    </row>
    <row r="13" spans="1:9">
      <c r="D13" s="2" t="str">
        <f>IFERROR(LEFT(Tabela1[[#This Row],[N°S]],LEN(Tabela1[[#This Row],[N°S]])-1),"")</f>
        <v/>
      </c>
      <c r="E13" s="1" t="str" cm="1">
        <f t="array" ref="E13">IFERROR(time_diff_cor(Tabela1[[#This Row],[Largada]],Tabela1[[#This Row],[Chegada]]),"00:20:00:000")</f>
        <v>00:20:00:000</v>
      </c>
      <c r="F13" s="1" t="str" cm="1">
        <f t="array" ref="F13">IFERROR(time_diff(Tabela1[[#This Row],[TEMPO]],E12),"00:00:00:000")</f>
        <v>00:00:00:00</v>
      </c>
      <c r="G13" s="1" t="str" cm="1">
        <f t="array" aca="1" ref="G13" ca="1">IF(Tabela1[[#This Row],[N°]]=D12,time_sum(Tabela1[[#This Row],[TEMPO]],E12),Tabela1[[#This Row],[TEMPO]])</f>
        <v>00:40:00:000</v>
      </c>
      <c r="H13" s="1" t="e">
        <f>VLOOKUP(C13,LARGADA!A:B,2,FALSE)</f>
        <v>#N/A</v>
      </c>
      <c r="I13" s="1" t="e">
        <f>VLOOKUP(C13,CHEGADA!A:B,2,FALSE)</f>
        <v>#N/A</v>
      </c>
    </row>
    <row r="14" spans="1:9">
      <c r="D14" s="2" t="str">
        <f>IFERROR(LEFT(Tabela1[[#This Row],[N°S]],LEN(Tabela1[[#This Row],[N°S]])-1),"")</f>
        <v/>
      </c>
      <c r="E14" s="1" t="str" cm="1">
        <f t="array" ref="E14">IFERROR(time_diff_cor(Tabela1[[#This Row],[Largada]],Tabela1[[#This Row],[Chegada]]),"00:20:00:000")</f>
        <v>00:20:00:000</v>
      </c>
      <c r="F14" s="1" t="str" cm="1">
        <f t="array" ref="F14">IFERROR(time_diff(Tabela1[[#This Row],[TEMPO]],E13),"00:00:00:000")</f>
        <v>00:00:00:00</v>
      </c>
      <c r="G14" s="1" t="str" cm="1">
        <f t="array" aca="1" ref="G14" ca="1">IF(Tabela1[[#This Row],[N°]]=D13,time_sum(Tabela1[[#This Row],[TEMPO]],E13),Tabela1[[#This Row],[TEMPO]])</f>
        <v>00:40:00:000</v>
      </c>
      <c r="H14" s="1" t="e">
        <f>VLOOKUP(C14,LARGADA!A:B,2,FALSE)</f>
        <v>#N/A</v>
      </c>
      <c r="I14" s="1" t="e">
        <f>VLOOKUP(C14,CHEGADA!A:B,2,FALSE)</f>
        <v>#N/A</v>
      </c>
    </row>
    <row r="15" spans="1:9">
      <c r="D15" s="2" t="str">
        <f>IFERROR(LEFT(Tabela1[[#This Row],[N°S]],LEN(Tabela1[[#This Row],[N°S]])-1),"")</f>
        <v/>
      </c>
      <c r="E15" s="1" t="str" cm="1">
        <f t="array" ref="E15">IFERROR(time_diff_cor(Tabela1[[#This Row],[Largada]],Tabela1[[#This Row],[Chegada]]),"00:20:00:000")</f>
        <v>00:20:00:000</v>
      </c>
      <c r="F15" s="1" t="str" cm="1">
        <f t="array" ref="F15">IFERROR(time_diff(Tabela1[[#This Row],[TEMPO]],E14),"00:00:00:000")</f>
        <v>00:00:00:00</v>
      </c>
      <c r="G15" s="1" t="str" cm="1">
        <f t="array" aca="1" ref="G15" ca="1">IF(Tabela1[[#This Row],[N°]]=D14,time_sum(Tabela1[[#This Row],[TEMPO]],E14),Tabela1[[#This Row],[TEMPO]])</f>
        <v>00:40:00:000</v>
      </c>
      <c r="H15" s="1" t="e">
        <f>VLOOKUP(C15,LARGADA!A:B,2,FALSE)</f>
        <v>#N/A</v>
      </c>
      <c r="I15" s="1" t="e">
        <f>VLOOKUP(C15,CHEGADA!A:B,2,FALSE)</f>
        <v>#N/A</v>
      </c>
    </row>
    <row r="16" spans="1:9">
      <c r="D16" s="2" t="str">
        <f>IFERROR(LEFT(Tabela1[[#This Row],[N°S]],LEN(Tabela1[[#This Row],[N°S]])-1),"")</f>
        <v/>
      </c>
      <c r="E16" s="1" t="str" cm="1">
        <f t="array" ref="E16">IFERROR(time_diff_cor(Tabela1[[#This Row],[Largada]],Tabela1[[#This Row],[Chegada]]),"00:20:00:000")</f>
        <v>00:20:00:000</v>
      </c>
      <c r="F16" s="1" t="str" cm="1">
        <f t="array" ref="F16">IFERROR(time_diff(Tabela1[[#This Row],[TEMPO]],E15),"00:00:00:000")</f>
        <v>00:00:00:00</v>
      </c>
      <c r="G16" s="1" t="str" cm="1">
        <f t="array" aca="1" ref="G16" ca="1">IF(Tabela1[[#This Row],[N°]]=D15,time_sum(Tabela1[[#This Row],[TEMPO]],E15),Tabela1[[#This Row],[TEMPO]])</f>
        <v>00:40:00:000</v>
      </c>
      <c r="H16" s="1" t="e">
        <f>VLOOKUP(C16,LARGADA!A:B,2,FALSE)</f>
        <v>#N/A</v>
      </c>
      <c r="I16" s="1" t="e">
        <f>VLOOKUP(C16,CHEGADA!A:B,2,FALSE)</f>
        <v>#N/A</v>
      </c>
    </row>
    <row r="17" spans="4:9">
      <c r="D17" s="2" t="str">
        <f>IFERROR(LEFT(Tabela1[[#This Row],[N°S]],LEN(Tabela1[[#This Row],[N°S]])-1),"")</f>
        <v/>
      </c>
      <c r="E17" s="1" t="str" cm="1">
        <f t="array" ref="E17">IFERROR(time_diff_cor(Tabela1[[#This Row],[Largada]],Tabela1[[#This Row],[Chegada]]),"00:20:00:000")</f>
        <v>00:20:00:000</v>
      </c>
      <c r="F17" s="1" t="str" cm="1">
        <f t="array" ref="F17">IFERROR(time_diff(Tabela1[[#This Row],[TEMPO]],E16),"00:00:00:000")</f>
        <v>00:00:00:00</v>
      </c>
      <c r="G17" s="1" t="str" cm="1">
        <f t="array" aca="1" ref="G17" ca="1">IF(Tabela1[[#This Row],[N°]]=D16,time_sum(Tabela1[[#This Row],[TEMPO]],E16),Tabela1[[#This Row],[TEMPO]])</f>
        <v>00:40:00:000</v>
      </c>
      <c r="H17" s="1" t="e">
        <f>VLOOKUP(C17,LARGADA!A:B,2,FALSE)</f>
        <v>#N/A</v>
      </c>
      <c r="I17" s="1" t="e">
        <f>VLOOKUP(C17,CHEGADA!A:B,2,FALSE)</f>
        <v>#N/A</v>
      </c>
    </row>
    <row r="18" spans="4:9">
      <c r="D18" s="2" t="str">
        <f>IFERROR(LEFT(Tabela1[[#This Row],[N°S]],LEN(Tabela1[[#This Row],[N°S]])-1),"")</f>
        <v/>
      </c>
      <c r="E18" s="1" t="str" cm="1">
        <f t="array" ref="E18">IFERROR(time_diff_cor(Tabela1[[#This Row],[Largada]],Tabela1[[#This Row],[Chegada]]),"00:20:00:000")</f>
        <v>00:20:00:000</v>
      </c>
      <c r="F18" s="1" t="str" cm="1">
        <f t="array" ref="F18">IFERROR(time_diff(Tabela1[[#This Row],[TEMPO]],E17),"00:00:00:000")</f>
        <v>00:00:00:00</v>
      </c>
      <c r="G18" s="1" t="str" cm="1">
        <f t="array" aca="1" ref="G18" ca="1">IF(Tabela1[[#This Row],[N°]]=D17,time_sum(Tabela1[[#This Row],[TEMPO]],E17),Tabela1[[#This Row],[TEMPO]])</f>
        <v>00:40:00:000</v>
      </c>
      <c r="H18" s="1" t="e">
        <f>VLOOKUP(C18,LARGADA!A:B,2,FALSE)</f>
        <v>#N/A</v>
      </c>
      <c r="I18" s="1" t="e">
        <f>VLOOKUP(C18,CHEGADA!A:B,2,FALSE)</f>
        <v>#N/A</v>
      </c>
    </row>
    <row r="19" spans="4:9">
      <c r="D19" s="2" t="str">
        <f>IFERROR(LEFT(Tabela1[[#This Row],[N°S]],LEN(Tabela1[[#This Row],[N°S]])-1),"")</f>
        <v/>
      </c>
      <c r="E19" s="1" t="str" cm="1">
        <f t="array" ref="E19">IFERROR(time_diff_cor(Tabela1[[#This Row],[Largada]],Tabela1[[#This Row],[Chegada]]),"00:20:00:000")</f>
        <v>00:20:00:000</v>
      </c>
      <c r="F19" s="1" t="str" cm="1">
        <f t="array" ref="F19">IFERROR(time_diff(Tabela1[[#This Row],[TEMPO]],E18),"00:00:00:000")</f>
        <v>00:00:00:00</v>
      </c>
      <c r="G19" s="1" t="str" cm="1">
        <f t="array" aca="1" ref="G19" ca="1">IF(Tabela1[[#This Row],[N°]]=D18,time_sum(Tabela1[[#This Row],[TEMPO]],E18),Tabela1[[#This Row],[TEMPO]])</f>
        <v>00:40:00:000</v>
      </c>
      <c r="H19" s="1" t="e">
        <f>VLOOKUP(C19,LARGADA!A:B,2,FALSE)</f>
        <v>#N/A</v>
      </c>
      <c r="I19" s="1" t="e">
        <f>VLOOKUP(C19,CHEGADA!A:B,2,FALSE)</f>
        <v>#N/A</v>
      </c>
    </row>
    <row r="20" spans="4:9">
      <c r="D20" s="2" t="str">
        <f>IFERROR(LEFT(Tabela1[[#This Row],[N°S]],LEN(Tabela1[[#This Row],[N°S]])-1),"")</f>
        <v/>
      </c>
      <c r="E20" s="1" t="str" cm="1">
        <f t="array" ref="E20">IFERROR(time_diff_cor(Tabela1[[#This Row],[Largada]],Tabela1[[#This Row],[Chegada]]),"00:20:00:000")</f>
        <v>00:20:00:000</v>
      </c>
      <c r="F20" s="1" t="str" cm="1">
        <f t="array" ref="F20">IFERROR(time_diff(Tabela1[[#This Row],[TEMPO]],E19),"00:00:00:000")</f>
        <v>00:00:00:00</v>
      </c>
      <c r="G20" s="1" t="str" cm="1">
        <f t="array" aca="1" ref="G20" ca="1">IF(Tabela1[[#This Row],[N°]]=D19,time_sum(Tabela1[[#This Row],[TEMPO]],E19),Tabela1[[#This Row],[TEMPO]])</f>
        <v>00:40:00:000</v>
      </c>
      <c r="H20" s="1" t="e">
        <f>VLOOKUP(C20,LARGADA!A:B,2,FALSE)</f>
        <v>#N/A</v>
      </c>
      <c r="I20" s="1" t="e">
        <f>VLOOKUP(C20,CHEGADA!A:B,2,FALSE)</f>
        <v>#N/A</v>
      </c>
    </row>
    <row r="21" spans="4:9">
      <c r="D21" s="2" t="str">
        <f>IFERROR(LEFT(Tabela1[[#This Row],[N°S]],LEN(Tabela1[[#This Row],[N°S]])-1),"")</f>
        <v/>
      </c>
      <c r="E21" s="1" t="str" cm="1">
        <f t="array" ref="E21">IFERROR(time_diff_cor(Tabela1[[#This Row],[Largada]],Tabela1[[#This Row],[Chegada]]),"00:20:00:000")</f>
        <v>00:20:00:000</v>
      </c>
      <c r="F21" s="1" t="str" cm="1">
        <f t="array" ref="F21">IFERROR(time_diff(Tabela1[[#This Row],[TEMPO]],E20),"00:00:00:000")</f>
        <v>00:00:00:00</v>
      </c>
      <c r="G21" s="1" t="str" cm="1">
        <f t="array" aca="1" ref="G21" ca="1">IF(Tabela1[[#This Row],[N°]]=D20,time_sum(Tabela1[[#This Row],[TEMPO]],E20),Tabela1[[#This Row],[TEMPO]])</f>
        <v>00:40:00:000</v>
      </c>
      <c r="H21" s="1" t="e">
        <f>VLOOKUP(C21,LARGADA!A:B,2,FALSE)</f>
        <v>#N/A</v>
      </c>
      <c r="I21" s="1" t="e">
        <f>VLOOKUP(C21,CHEGADA!A:B,2,FALSE)</f>
        <v>#N/A</v>
      </c>
    </row>
    <row r="22" spans="4:9">
      <c r="D22" s="2" t="str">
        <f>IFERROR(LEFT(Tabela1[[#This Row],[N°S]],LEN(Tabela1[[#This Row],[N°S]])-1),"")</f>
        <v/>
      </c>
      <c r="E22" s="1" t="str" cm="1">
        <f t="array" ref="E22">IFERROR(time_diff_cor(Tabela1[[#This Row],[Largada]],Tabela1[[#This Row],[Chegada]]),"00:20:00:000")</f>
        <v>00:20:00:000</v>
      </c>
      <c r="F22" s="1" t="str" cm="1">
        <f t="array" ref="F22">IFERROR(time_diff(Tabela1[[#This Row],[TEMPO]],E21),"00:00:00:000")</f>
        <v>00:00:00:00</v>
      </c>
      <c r="G22" s="1" t="str" cm="1">
        <f t="array" aca="1" ref="G22" ca="1">IF(Tabela1[[#This Row],[N°]]=D21,time_sum(Tabela1[[#This Row],[TEMPO]],E21),Tabela1[[#This Row],[TEMPO]])</f>
        <v>00:40:00:000</v>
      </c>
      <c r="H22" s="1" t="e">
        <f>VLOOKUP(C22,LARGADA!A:B,2,FALSE)</f>
        <v>#N/A</v>
      </c>
      <c r="I22" s="1" t="e">
        <f>VLOOKUP(C22,CHEGADA!A:B,2,FALSE)</f>
        <v>#N/A</v>
      </c>
    </row>
    <row r="23" spans="4:9">
      <c r="D23" s="2" t="str">
        <f>IFERROR(LEFT(Tabela1[[#This Row],[N°S]],LEN(Tabela1[[#This Row],[N°S]])-1),"")</f>
        <v/>
      </c>
      <c r="E23" s="1" t="str" cm="1">
        <f t="array" ref="E23">IFERROR(time_diff_cor(Tabela1[[#This Row],[Largada]],Tabela1[[#This Row],[Chegada]]),"00:20:00:000")</f>
        <v>00:20:00:000</v>
      </c>
      <c r="F23" s="1" t="str" cm="1">
        <f t="array" ref="F23">IFERROR(time_diff(Tabela1[[#This Row],[TEMPO]],E22),"00:00:00:000")</f>
        <v>00:00:00:00</v>
      </c>
      <c r="G23" s="1" t="str" cm="1">
        <f t="array" aca="1" ref="G23" ca="1">IF(Tabela1[[#This Row],[N°]]=D22,time_sum(Tabela1[[#This Row],[TEMPO]],E22),Tabela1[[#This Row],[TEMPO]])</f>
        <v>00:40:00:000</v>
      </c>
      <c r="H23" s="1" t="e">
        <f>VLOOKUP(C23,LARGADA!A:B,2,FALSE)</f>
        <v>#N/A</v>
      </c>
      <c r="I23" s="1" t="e">
        <f>VLOOKUP(C23,CHEGADA!A:B,2,FALSE)</f>
        <v>#N/A</v>
      </c>
    </row>
    <row r="24" spans="4:9">
      <c r="D24" s="2" t="str">
        <f>IFERROR(LEFT(Tabela1[[#This Row],[N°S]],LEN(Tabela1[[#This Row],[N°S]])-1),"")</f>
        <v/>
      </c>
      <c r="E24" s="1" t="str" cm="1">
        <f t="array" ref="E24">IFERROR(time_diff_cor(Tabela1[[#This Row],[Largada]],Tabela1[[#This Row],[Chegada]]),"00:20:00:000")</f>
        <v>00:20:00:000</v>
      </c>
      <c r="F24" s="1" t="str" cm="1">
        <f t="array" ref="F24">IFERROR(time_diff(Tabela1[[#This Row],[TEMPO]],E23),"00:00:00:000")</f>
        <v>00:00:00:00</v>
      </c>
      <c r="G24" s="1" t="str" cm="1">
        <f t="array" aca="1" ref="G24" ca="1">IF(Tabela1[[#This Row],[N°]]=D23,time_sum(Tabela1[[#This Row],[TEMPO]],E23),Tabela1[[#This Row],[TEMPO]])</f>
        <v>00:40:00:000</v>
      </c>
      <c r="H24" s="1" t="e">
        <f>VLOOKUP(C24,LARGADA!A:B,2,FALSE)</f>
        <v>#N/A</v>
      </c>
      <c r="I24" s="1" t="e">
        <f>VLOOKUP(C24,CHEGADA!A:B,2,FALSE)</f>
        <v>#N/A</v>
      </c>
    </row>
    <row r="25" spans="4:9">
      <c r="D25" s="2" t="str">
        <f>IFERROR(LEFT(Tabela1[[#This Row],[N°S]],LEN(Tabela1[[#This Row],[N°S]])-1),"")</f>
        <v/>
      </c>
      <c r="E25" s="1" t="str" cm="1">
        <f t="array" ref="E25">IFERROR(time_diff_cor(Tabela1[[#This Row],[Largada]],Tabela1[[#This Row],[Chegada]]),"00:20:00:000")</f>
        <v>00:20:00:000</v>
      </c>
      <c r="F25" s="1" t="str" cm="1">
        <f t="array" ref="F25">IFERROR(time_diff(Tabela1[[#This Row],[TEMPO]],E24),"00:00:00:000")</f>
        <v>00:00:00:00</v>
      </c>
      <c r="G25" s="1" t="str" cm="1">
        <f t="array" aca="1" ref="G25" ca="1">IF(Tabela1[[#This Row],[N°]]=D24,time_sum(Tabela1[[#This Row],[TEMPO]],E24),Tabela1[[#This Row],[TEMPO]])</f>
        <v>00:40:00:000</v>
      </c>
      <c r="H25" s="1" t="e">
        <f>VLOOKUP(C25,LARGADA!A:B,2,FALSE)</f>
        <v>#N/A</v>
      </c>
      <c r="I25" s="1" t="e">
        <f>VLOOKUP(C25,CHEGADA!A:B,2,FALSE)</f>
        <v>#N/A</v>
      </c>
    </row>
    <row r="26" spans="4:9">
      <c r="D26" s="2" t="str">
        <f>IFERROR(LEFT(Tabela1[[#This Row],[N°S]],LEN(Tabela1[[#This Row],[N°S]])-1),"")</f>
        <v/>
      </c>
      <c r="E26" s="1" t="str" cm="1">
        <f t="array" ref="E26">IFERROR(time_diff_cor(Tabela1[[#This Row],[Largada]],Tabela1[[#This Row],[Chegada]]),"00:20:00:000")</f>
        <v>00:20:00:000</v>
      </c>
      <c r="F26" s="1" t="str" cm="1">
        <f t="array" ref="F26">IFERROR(time_diff(Tabela1[[#This Row],[TEMPO]],E25),"00:00:00:000")</f>
        <v>00:00:00:00</v>
      </c>
      <c r="G26" s="1" t="str" cm="1">
        <f t="array" aca="1" ref="G26" ca="1">IF(Tabela1[[#This Row],[N°]]=D25,time_sum(Tabela1[[#This Row],[TEMPO]],E25),Tabela1[[#This Row],[TEMPO]])</f>
        <v>00:40:00:000</v>
      </c>
      <c r="H26" s="1" t="e">
        <f>VLOOKUP(C26,LARGADA!A:B,2,FALSE)</f>
        <v>#N/A</v>
      </c>
      <c r="I26" s="1" t="e">
        <f>VLOOKUP(C26,CHEGADA!A:B,2,FALSE)</f>
        <v>#N/A</v>
      </c>
    </row>
    <row r="27" spans="4:9">
      <c r="D27" s="2" t="str">
        <f>IFERROR(LEFT(Tabela1[[#This Row],[N°S]],LEN(Tabela1[[#This Row],[N°S]])-1),"")</f>
        <v/>
      </c>
      <c r="E27" s="1" t="str" cm="1">
        <f t="array" ref="E27">IFERROR(time_diff_cor(Tabela1[[#This Row],[Largada]],Tabela1[[#This Row],[Chegada]]),"00:20:00:000")</f>
        <v>00:20:00:000</v>
      </c>
      <c r="F27" s="1" t="str" cm="1">
        <f t="array" ref="F27">IFERROR(time_diff(Tabela1[[#This Row],[TEMPO]],E26),"00:00:00:000")</f>
        <v>00:00:00:00</v>
      </c>
      <c r="G27" s="1" t="str" cm="1">
        <f t="array" aca="1" ref="G27" ca="1">IF(Tabela1[[#This Row],[N°]]=D26,time_sum(Tabela1[[#This Row],[TEMPO]],E26),Tabela1[[#This Row],[TEMPO]])</f>
        <v>00:40:00:000</v>
      </c>
      <c r="H27" s="1" t="e">
        <f>VLOOKUP(C27,LARGADA!A:B,2,FALSE)</f>
        <v>#N/A</v>
      </c>
      <c r="I27" s="1" t="e">
        <f>VLOOKUP(C27,CHEGADA!A:B,2,FALSE)</f>
        <v>#N/A</v>
      </c>
    </row>
    <row r="28" spans="4:9">
      <c r="D28" s="2" t="str">
        <f>IFERROR(LEFT(Tabela1[[#This Row],[N°S]],LEN(Tabela1[[#This Row],[N°S]])-1),"")</f>
        <v/>
      </c>
      <c r="E28" s="1" t="str" cm="1">
        <f t="array" ref="E28">IFERROR(time_diff_cor(Tabela1[[#This Row],[Largada]],Tabela1[[#This Row],[Chegada]]),"00:20:00:000")</f>
        <v>00:20:00:000</v>
      </c>
      <c r="F28" s="1" t="str" cm="1">
        <f t="array" ref="F28">IFERROR(time_diff(Tabela1[[#This Row],[TEMPO]],E27),"00:00:00:000")</f>
        <v>00:00:00:00</v>
      </c>
      <c r="G28" s="1" t="str" cm="1">
        <f t="array" aca="1" ref="G28" ca="1">IF(Tabela1[[#This Row],[N°]]=D27,time_sum(Tabela1[[#This Row],[TEMPO]],E27),Tabela1[[#This Row],[TEMPO]])</f>
        <v>00:40:00:000</v>
      </c>
      <c r="H28" s="1" t="e">
        <f>VLOOKUP(C28,LARGADA!A:B,2,FALSE)</f>
        <v>#N/A</v>
      </c>
      <c r="I28" s="1" t="e">
        <f>VLOOKUP(C28,CHEGADA!A:B,2,FALSE)</f>
        <v>#N/A</v>
      </c>
    </row>
    <row r="29" spans="4:9">
      <c r="D29" s="2" t="str">
        <f>IFERROR(LEFT(Tabela1[[#This Row],[N°S]],LEN(Tabela1[[#This Row],[N°S]])-1),"")</f>
        <v/>
      </c>
      <c r="E29" s="1" t="str" cm="1">
        <f t="array" ref="E29">IFERROR(time_diff_cor(Tabela1[[#This Row],[Largada]],Tabela1[[#This Row],[Chegada]]),"00:20:00:000")</f>
        <v>00:20:00:000</v>
      </c>
      <c r="F29" s="1" t="str" cm="1">
        <f t="array" ref="F29">IFERROR(time_diff(Tabela1[[#This Row],[TEMPO]],E28),"00:00:00:000")</f>
        <v>00:00:00:00</v>
      </c>
      <c r="G29" s="1" t="str" cm="1">
        <f t="array" aca="1" ref="G29" ca="1">IF(Tabela1[[#This Row],[N°]]=D28,time_sum(Tabela1[[#This Row],[TEMPO]],E28),Tabela1[[#This Row],[TEMPO]])</f>
        <v>00:40:00:000</v>
      </c>
      <c r="H29" s="1" t="e">
        <f>VLOOKUP(C29,LARGADA!A:B,2,FALSE)</f>
        <v>#N/A</v>
      </c>
      <c r="I29" s="1" t="e">
        <f>VLOOKUP(C29,CHEGADA!A:B,2,FALSE)</f>
        <v>#N/A</v>
      </c>
    </row>
    <row r="30" spans="4:9">
      <c r="D30" s="2" t="str">
        <f>IFERROR(LEFT(Tabela1[[#This Row],[N°S]],LEN(Tabela1[[#This Row],[N°S]])-1),"")</f>
        <v/>
      </c>
      <c r="E30" s="1" t="str" cm="1">
        <f t="array" ref="E30">IFERROR(time_diff_cor(Tabela1[[#This Row],[Largada]],Tabela1[[#This Row],[Chegada]]),"00:20:00:000")</f>
        <v>00:20:00:000</v>
      </c>
      <c r="F30" s="1" t="str" cm="1">
        <f t="array" ref="F30">IFERROR(time_diff(Tabela1[[#This Row],[TEMPO]],E29),"00:00:00:000")</f>
        <v>00:00:00:00</v>
      </c>
      <c r="G30" s="1" t="str" cm="1">
        <f t="array" aca="1" ref="G30" ca="1">IF(Tabela1[[#This Row],[N°]]=D29,time_sum(Tabela1[[#This Row],[TEMPO]],E29),Tabela1[[#This Row],[TEMPO]])</f>
        <v>00:40:00:000</v>
      </c>
      <c r="H30" s="1" t="e">
        <f>VLOOKUP(C30,LARGADA!A:B,2,FALSE)</f>
        <v>#N/A</v>
      </c>
      <c r="I30" s="1" t="e">
        <f>VLOOKUP(C30,CHEGADA!A:B,2,FALSE)</f>
        <v>#N/A</v>
      </c>
    </row>
    <row r="31" spans="4:9">
      <c r="D31" s="2" t="str">
        <f>IFERROR(LEFT(Tabela1[[#This Row],[N°S]],LEN(Tabela1[[#This Row],[N°S]])-1),"")</f>
        <v/>
      </c>
      <c r="E31" s="1" t="str" cm="1">
        <f t="array" ref="E31">IFERROR(time_diff_cor(Tabela1[[#This Row],[Largada]],Tabela1[[#This Row],[Chegada]]),"00:20:00:000")</f>
        <v>00:20:00:000</v>
      </c>
      <c r="F31" s="1" t="str" cm="1">
        <f t="array" ref="F31">IFERROR(time_diff(Tabela1[[#This Row],[TEMPO]],E30),"00:00:00:000")</f>
        <v>00:00:00:00</v>
      </c>
      <c r="G31" s="1" t="str" cm="1">
        <f t="array" aca="1" ref="G31" ca="1">IF(Tabela1[[#This Row],[N°]]=D30,time_sum(Tabela1[[#This Row],[TEMPO]],E30),Tabela1[[#This Row],[TEMPO]])</f>
        <v>00:40:00:000</v>
      </c>
      <c r="H31" s="1" t="e">
        <f>VLOOKUP(C31,LARGADA!A:B,2,FALSE)</f>
        <v>#N/A</v>
      </c>
      <c r="I31" s="1" t="e">
        <f>VLOOKUP(C31,CHEGADA!A:B,2,FALSE)</f>
        <v>#N/A</v>
      </c>
    </row>
    <row r="32" spans="4:9">
      <c r="D32" s="2" t="str">
        <f>IFERROR(LEFT(Tabela1[[#This Row],[N°S]],LEN(Tabela1[[#This Row],[N°S]])-1),"")</f>
        <v/>
      </c>
      <c r="E32" s="1" t="str" cm="1">
        <f t="array" ref="E32">IFERROR(time_diff_cor(Tabela1[[#This Row],[Largada]],Tabela1[[#This Row],[Chegada]]),"00:20:00:000")</f>
        <v>00:20:00:000</v>
      </c>
      <c r="F32" s="1" t="str" cm="1">
        <f t="array" ref="F32">IFERROR(time_diff(Tabela1[[#This Row],[TEMPO]],E31),"00:00:00:000")</f>
        <v>00:00:00:00</v>
      </c>
      <c r="G32" s="1" t="str" cm="1">
        <f t="array" aca="1" ref="G32" ca="1">IF(Tabela1[[#This Row],[N°]]=D31,time_sum(Tabela1[[#This Row],[TEMPO]],E31),Tabela1[[#This Row],[TEMPO]])</f>
        <v>00:40:00:000</v>
      </c>
      <c r="H32" s="1" t="e">
        <f>VLOOKUP(C32,LARGADA!A:B,2,FALSE)</f>
        <v>#N/A</v>
      </c>
      <c r="I32" s="1" t="e">
        <f>VLOOKUP(C32,CHEGADA!A:B,2,FALSE)</f>
        <v>#N/A</v>
      </c>
    </row>
    <row r="33" spans="4:9">
      <c r="D33" s="2" t="str">
        <f>IFERROR(LEFT(Tabela1[[#This Row],[N°S]],LEN(Tabela1[[#This Row],[N°S]])-1),"")</f>
        <v/>
      </c>
      <c r="E33" s="1" t="str" cm="1">
        <f t="array" ref="E33">IFERROR(time_diff_cor(Tabela1[[#This Row],[Largada]],Tabela1[[#This Row],[Chegada]]),"00:20:00:000")</f>
        <v>00:20:00:000</v>
      </c>
      <c r="F33" s="1" t="str" cm="1">
        <f t="array" ref="F33">IFERROR(time_diff(Tabela1[[#This Row],[TEMPO]],E32),"00:00:00:000")</f>
        <v>00:00:00:00</v>
      </c>
      <c r="G33" s="1" t="str" cm="1">
        <f t="array" aca="1" ref="G33" ca="1">IF(Tabela1[[#This Row],[N°]]=D32,time_sum(Tabela1[[#This Row],[TEMPO]],E32),Tabela1[[#This Row],[TEMPO]])</f>
        <v>00:40:00:000</v>
      </c>
      <c r="H33" s="1" t="e">
        <f>VLOOKUP(C33,LARGADA!A:B,2,FALSE)</f>
        <v>#N/A</v>
      </c>
      <c r="I33" s="1" t="e">
        <f>VLOOKUP(C33,CHEGADA!A:B,2,FALSE)</f>
        <v>#N/A</v>
      </c>
    </row>
    <row r="34" spans="4:9">
      <c r="D34" s="2" t="str">
        <f>IFERROR(LEFT(Tabela1[[#This Row],[N°S]],LEN(Tabela1[[#This Row],[N°S]])-1),"")</f>
        <v/>
      </c>
      <c r="E34" s="1" t="str" cm="1">
        <f t="array" ref="E34">IFERROR(time_diff_cor(Tabela1[[#This Row],[Largada]],Tabela1[[#This Row],[Chegada]]),"00:20:00:000")</f>
        <v>00:20:00:000</v>
      </c>
      <c r="F34" s="1" t="str" cm="1">
        <f t="array" ref="F34">IFERROR(time_diff(Tabela1[[#This Row],[TEMPO]],E33),"00:00:00:000")</f>
        <v>00:00:00:00</v>
      </c>
      <c r="G34" s="1" t="str" cm="1">
        <f t="array" aca="1" ref="G34" ca="1">IF(Tabela1[[#This Row],[N°]]=D33,time_sum(Tabela1[[#This Row],[TEMPO]],E33),Tabela1[[#This Row],[TEMPO]])</f>
        <v>00:40:00:000</v>
      </c>
      <c r="H34" s="1" t="e">
        <f>VLOOKUP(C34,LARGADA!A:B,2,FALSE)</f>
        <v>#N/A</v>
      </c>
      <c r="I34" s="1" t="e">
        <f>VLOOKUP(C34,CHEGADA!A:B,2,FALSE)</f>
        <v>#N/A</v>
      </c>
    </row>
    <row r="35" spans="4:9">
      <c r="D35" s="2" t="str">
        <f>IFERROR(LEFT(Tabela1[[#This Row],[N°S]],LEN(Tabela1[[#This Row],[N°S]])-1),"")</f>
        <v/>
      </c>
      <c r="E35" s="1" t="str" cm="1">
        <f t="array" ref="E35">IFERROR(time_diff_cor(Tabela1[[#This Row],[Largada]],Tabela1[[#This Row],[Chegada]]),"00:20:00:000")</f>
        <v>00:20:00:000</v>
      </c>
      <c r="F35" s="1" t="str" cm="1">
        <f t="array" ref="F35">IFERROR(time_diff(Tabela1[[#This Row],[TEMPO]],E34),"00:00:00:000")</f>
        <v>00:00:00:00</v>
      </c>
      <c r="G35" s="1" t="str" cm="1">
        <f t="array" aca="1" ref="G35" ca="1">IF(Tabela1[[#This Row],[N°]]=D34,time_sum(Tabela1[[#This Row],[TEMPO]],E34),Tabela1[[#This Row],[TEMPO]])</f>
        <v>00:40:00:000</v>
      </c>
      <c r="H35" s="1" t="e">
        <f>VLOOKUP(C35,LARGADA!A:B,2,FALSE)</f>
        <v>#N/A</v>
      </c>
      <c r="I35" s="1" t="e">
        <f>VLOOKUP(C35,CHEGADA!A:B,2,FALSE)</f>
        <v>#N/A</v>
      </c>
    </row>
    <row r="36" spans="4:9">
      <c r="D36" s="2" t="str">
        <f>IFERROR(LEFT(Tabela1[[#This Row],[N°S]],LEN(Tabela1[[#This Row],[N°S]])-1),"")</f>
        <v/>
      </c>
      <c r="E36" s="1" t="str" cm="1">
        <f t="array" ref="E36">IFERROR(time_diff_cor(Tabela1[[#This Row],[Largada]],Tabela1[[#This Row],[Chegada]]),"00:20:00:000")</f>
        <v>00:20:00:000</v>
      </c>
      <c r="F36" s="1" t="str" cm="1">
        <f t="array" ref="F36">IFERROR(time_diff(Tabela1[[#This Row],[TEMPO]],E35),"00:00:00:000")</f>
        <v>00:00:00:00</v>
      </c>
      <c r="G36" s="1" t="str" cm="1">
        <f t="array" aca="1" ref="G36" ca="1">IF(Tabela1[[#This Row],[N°]]=D35,time_sum(Tabela1[[#This Row],[TEMPO]],E35),Tabela1[[#This Row],[TEMPO]])</f>
        <v>00:40:00:000</v>
      </c>
      <c r="H36" s="1" t="e">
        <f>VLOOKUP(C36,LARGADA!A:B,2,FALSE)</f>
        <v>#N/A</v>
      </c>
      <c r="I36" s="1" t="e">
        <f>VLOOKUP(C36,CHEGADA!A:B,2,FALSE)</f>
        <v>#N/A</v>
      </c>
    </row>
    <row r="37" spans="4:9">
      <c r="D37" s="2" t="str">
        <f>IFERROR(LEFT(Tabela1[[#This Row],[N°S]],LEN(Tabela1[[#This Row],[N°S]])-1),"")</f>
        <v/>
      </c>
      <c r="E37" s="1" t="str" cm="1">
        <f t="array" ref="E37">IFERROR(time_diff_cor(Tabela1[[#This Row],[Largada]],Tabela1[[#This Row],[Chegada]]),"00:20:00:000")</f>
        <v>00:20:00:000</v>
      </c>
      <c r="F37" s="1" t="str" cm="1">
        <f t="array" ref="F37">IFERROR(time_diff(Tabela1[[#This Row],[TEMPO]],E36),"00:00:00:000")</f>
        <v>00:00:00:00</v>
      </c>
      <c r="G37" s="1" t="str" cm="1">
        <f t="array" aca="1" ref="G37" ca="1">IF(Tabela1[[#This Row],[N°]]=D36,time_sum(Tabela1[[#This Row],[TEMPO]],E36),Tabela1[[#This Row],[TEMPO]])</f>
        <v>00:40:00:000</v>
      </c>
      <c r="H37" s="1" t="e">
        <f>VLOOKUP(C37,LARGADA!A:B,2,FALSE)</f>
        <v>#N/A</v>
      </c>
      <c r="I37" s="1" t="e">
        <f>VLOOKUP(C37,CHEGADA!A:B,2,FALSE)</f>
        <v>#N/A</v>
      </c>
    </row>
    <row r="38" spans="4:9">
      <c r="D38" s="2" t="str">
        <f>IFERROR(LEFT(Tabela1[[#This Row],[N°S]],LEN(Tabela1[[#This Row],[N°S]])-1),"")</f>
        <v/>
      </c>
      <c r="E38" s="1" t="str" cm="1">
        <f t="array" ref="E38">IFERROR(time_diff_cor(Tabela1[[#This Row],[Largada]],Tabela1[[#This Row],[Chegada]]),"00:20:00:000")</f>
        <v>00:20:00:000</v>
      </c>
      <c r="F38" s="1" t="str" cm="1">
        <f t="array" ref="F38">IFERROR(time_diff(Tabela1[[#This Row],[TEMPO]],E37),"00:00:00:000")</f>
        <v>00:00:00:00</v>
      </c>
      <c r="G38" s="1" t="str" cm="1">
        <f t="array" aca="1" ref="G38" ca="1">IF(Tabela1[[#This Row],[N°]]=D37,time_sum(Tabela1[[#This Row],[TEMPO]],E37),Tabela1[[#This Row],[TEMPO]])</f>
        <v>00:40:00:000</v>
      </c>
      <c r="H38" s="1" t="e">
        <f>VLOOKUP(C38,LARGADA!A:B,2,FALSE)</f>
        <v>#N/A</v>
      </c>
      <c r="I38" s="1" t="e">
        <f>VLOOKUP(C38,CHEGADA!A:B,2,FALSE)</f>
        <v>#N/A</v>
      </c>
    </row>
    <row r="39" spans="4:9">
      <c r="D39" s="2" t="str">
        <f>IFERROR(LEFT(Tabela1[[#This Row],[N°S]],LEN(Tabela1[[#This Row],[N°S]])-1),"")</f>
        <v/>
      </c>
      <c r="E39" s="1" t="str" cm="1">
        <f t="array" ref="E39">IFERROR(time_diff_cor(Tabela1[[#This Row],[Largada]],Tabela1[[#This Row],[Chegada]]),"00:20:00:000")</f>
        <v>00:20:00:000</v>
      </c>
      <c r="F39" s="1" t="str" cm="1">
        <f t="array" ref="F39">IFERROR(time_diff(Tabela1[[#This Row],[TEMPO]],E38),"00:00:00:000")</f>
        <v>00:00:00:00</v>
      </c>
      <c r="G39" s="1" t="str" cm="1">
        <f t="array" aca="1" ref="G39" ca="1">IF(Tabela1[[#This Row],[N°]]=D38,time_sum(Tabela1[[#This Row],[TEMPO]],E38),Tabela1[[#This Row],[TEMPO]])</f>
        <v>00:40:00:000</v>
      </c>
      <c r="H39" s="1" t="e">
        <f>VLOOKUP(C39,LARGADA!A:B,2,FALSE)</f>
        <v>#N/A</v>
      </c>
      <c r="I39" s="1" t="e">
        <f>VLOOKUP(C39,CHEGADA!A:B,2,FALSE)</f>
        <v>#N/A</v>
      </c>
    </row>
    <row r="40" spans="4:9">
      <c r="D40" s="2" t="str">
        <f>IFERROR(LEFT(Tabela1[[#This Row],[N°S]],LEN(Tabela1[[#This Row],[N°S]])-1),"")</f>
        <v/>
      </c>
      <c r="E40" s="1" t="str" cm="1">
        <f t="array" ref="E40">IFERROR(time_diff_cor(Tabela1[[#This Row],[Largada]],Tabela1[[#This Row],[Chegada]]),"00:20:00:000")</f>
        <v>00:20:00:000</v>
      </c>
      <c r="F40" s="1" t="str" cm="1">
        <f t="array" ref="F40">IFERROR(time_diff(Tabela1[[#This Row],[TEMPO]],E39),"00:00:00:000")</f>
        <v>00:00:00:00</v>
      </c>
      <c r="G40" s="1" t="str" cm="1">
        <f t="array" aca="1" ref="G40" ca="1">IF(Tabela1[[#This Row],[N°]]=D39,time_sum(Tabela1[[#This Row],[TEMPO]],E39),Tabela1[[#This Row],[TEMPO]])</f>
        <v>00:40:00:000</v>
      </c>
      <c r="H40" s="1" t="e">
        <f>VLOOKUP(C40,LARGADA!A:B,2,FALSE)</f>
        <v>#N/A</v>
      </c>
      <c r="I40" s="1" t="e">
        <f>VLOOKUP(C40,CHEGADA!A:B,2,FALSE)</f>
        <v>#N/A</v>
      </c>
    </row>
    <row r="41" spans="4:9">
      <c r="D41" s="2" t="str">
        <f>IFERROR(LEFT(Tabela1[[#This Row],[N°S]],LEN(Tabela1[[#This Row],[N°S]])-1),"")</f>
        <v/>
      </c>
      <c r="E41" s="1" t="str" cm="1">
        <f t="array" ref="E41">IFERROR(time_diff_cor(Tabela1[[#This Row],[Largada]],Tabela1[[#This Row],[Chegada]]),"00:20:00:000")</f>
        <v>00:20:00:000</v>
      </c>
      <c r="F41" s="1" t="str" cm="1">
        <f t="array" ref="F41">IFERROR(time_diff(Tabela1[[#This Row],[TEMPO]],E40),"00:00:00:000")</f>
        <v>00:00:00:00</v>
      </c>
      <c r="G41" s="1" t="str" cm="1">
        <f t="array" aca="1" ref="G41" ca="1">IF(Tabela1[[#This Row],[N°]]=D40,time_sum(Tabela1[[#This Row],[TEMPO]],E40),Tabela1[[#This Row],[TEMPO]])</f>
        <v>00:40:00:000</v>
      </c>
      <c r="H41" s="1" t="e">
        <f>VLOOKUP(C41,LARGADA!A:B,2,FALSE)</f>
        <v>#N/A</v>
      </c>
      <c r="I41" s="1" t="e">
        <f>VLOOKUP(C41,CHEGADA!A:B,2,FALSE)</f>
        <v>#N/A</v>
      </c>
    </row>
    <row r="42" spans="4:9">
      <c r="D42" s="2" t="str">
        <f>IFERROR(LEFT(Tabela1[[#This Row],[N°S]],LEN(Tabela1[[#This Row],[N°S]])-1),"")</f>
        <v/>
      </c>
      <c r="E42" s="1" t="str" cm="1">
        <f t="array" ref="E42">IFERROR(time_diff_cor(Tabela1[[#This Row],[Largada]],Tabela1[[#This Row],[Chegada]]),"00:20:00:000")</f>
        <v>00:20:00:000</v>
      </c>
      <c r="F42" s="1" t="str" cm="1">
        <f t="array" ref="F42">IFERROR(time_diff(Tabela1[[#This Row],[TEMPO]],E41),"00:00:00:000")</f>
        <v>00:00:00:00</v>
      </c>
      <c r="G42" s="1" t="str" cm="1">
        <f t="array" aca="1" ref="G42" ca="1">IF(Tabela1[[#This Row],[N°]]=D41,time_sum(Tabela1[[#This Row],[TEMPO]],E41),Tabela1[[#This Row],[TEMPO]])</f>
        <v>00:40:00:000</v>
      </c>
      <c r="H42" s="1" t="e">
        <f>VLOOKUP(C42,LARGADA!A:B,2,FALSE)</f>
        <v>#N/A</v>
      </c>
      <c r="I42" s="1" t="e">
        <f>VLOOKUP(C42,CHEGADA!A:B,2,FALSE)</f>
        <v>#N/A</v>
      </c>
    </row>
    <row r="43" spans="4:9">
      <c r="D43" s="2" t="str">
        <f>IFERROR(LEFT(Tabela1[[#This Row],[N°S]],LEN(Tabela1[[#This Row],[N°S]])-1),"")</f>
        <v/>
      </c>
      <c r="E43" s="1" t="str" cm="1">
        <f t="array" ref="E43">IFERROR(time_diff_cor(Tabela1[[#This Row],[Largada]],Tabela1[[#This Row],[Chegada]]),"00:20:00:000")</f>
        <v>00:20:00:000</v>
      </c>
      <c r="F43" s="1" t="str" cm="1">
        <f t="array" ref="F43">IFERROR(time_diff(Tabela1[[#This Row],[TEMPO]],E42),"00:00:00:000")</f>
        <v>00:00:00:00</v>
      </c>
      <c r="G43" s="1" t="str" cm="1">
        <f t="array" aca="1" ref="G43" ca="1">IF(Tabela1[[#This Row],[N°]]=D42,time_sum(Tabela1[[#This Row],[TEMPO]],E42),Tabela1[[#This Row],[TEMPO]])</f>
        <v>00:40:00:000</v>
      </c>
      <c r="H43" s="1" t="e">
        <f>VLOOKUP(C43,LARGADA!A:B,2,FALSE)</f>
        <v>#N/A</v>
      </c>
      <c r="I43" s="1" t="e">
        <f>VLOOKUP(C43,CHEGADA!A:B,2,FALSE)</f>
        <v>#N/A</v>
      </c>
    </row>
    <row r="44" spans="4:9">
      <c r="D44" s="2" t="str">
        <f>IFERROR(LEFT(Tabela1[[#This Row],[N°S]],LEN(Tabela1[[#This Row],[N°S]])-1),"")</f>
        <v/>
      </c>
      <c r="E44" s="1" t="str" cm="1">
        <f t="array" ref="E44">IFERROR(time_diff_cor(Tabela1[[#This Row],[Largada]],Tabela1[[#This Row],[Chegada]]),"00:20:00:000")</f>
        <v>00:20:00:000</v>
      </c>
      <c r="F44" s="1" t="str" cm="1">
        <f t="array" ref="F44">IFERROR(time_diff(Tabela1[[#This Row],[TEMPO]],E43),"00:00:00:000")</f>
        <v>00:00:00:00</v>
      </c>
      <c r="G44" s="1" t="str" cm="1">
        <f t="array" aca="1" ref="G44" ca="1">IF(Tabela1[[#This Row],[N°]]=D43,time_sum(Tabela1[[#This Row],[TEMPO]],E43),Tabela1[[#This Row],[TEMPO]])</f>
        <v>00:40:00:000</v>
      </c>
      <c r="H44" s="1" t="e">
        <f>VLOOKUP(C44,LARGADA!A:B,2,FALSE)</f>
        <v>#N/A</v>
      </c>
      <c r="I44" s="1" t="e">
        <f>VLOOKUP(C44,CHEGADA!A:B,2,FALSE)</f>
        <v>#N/A</v>
      </c>
    </row>
    <row r="45" spans="4:9">
      <c r="D45" s="2" t="str">
        <f>IFERROR(LEFT(Tabela1[[#This Row],[N°S]],LEN(Tabela1[[#This Row],[N°S]])-1),"")</f>
        <v/>
      </c>
      <c r="E45" s="1" t="str" cm="1">
        <f t="array" ref="E45">IFERROR(time_diff_cor(Tabela1[[#This Row],[Largada]],Tabela1[[#This Row],[Chegada]]),"00:20:00:000")</f>
        <v>00:20:00:000</v>
      </c>
      <c r="F45" s="1" t="str" cm="1">
        <f t="array" ref="F45">IFERROR(time_diff(Tabela1[[#This Row],[TEMPO]],E44),"00:00:00:000")</f>
        <v>00:00:00:00</v>
      </c>
      <c r="G45" s="1" t="str" cm="1">
        <f t="array" aca="1" ref="G45" ca="1">IF(Tabela1[[#This Row],[N°]]=D44,time_sum(Tabela1[[#This Row],[TEMPO]],E44),Tabela1[[#This Row],[TEMPO]])</f>
        <v>00:40:00:000</v>
      </c>
      <c r="H45" s="1" t="e">
        <f>VLOOKUP(C45,LARGADA!A:B,2,FALSE)</f>
        <v>#N/A</v>
      </c>
      <c r="I45" s="1" t="e">
        <f>VLOOKUP(C45,CHEGADA!A:B,2,FALSE)</f>
        <v>#N/A</v>
      </c>
    </row>
    <row r="46" spans="4:9">
      <c r="D46" s="2" t="str">
        <f>IFERROR(LEFT(Tabela1[[#This Row],[N°S]],LEN(Tabela1[[#This Row],[N°S]])-1),"")</f>
        <v/>
      </c>
      <c r="E46" s="1" t="str" cm="1">
        <f t="array" ref="E46">IFERROR(time_diff_cor(Tabela1[[#This Row],[Largada]],Tabela1[[#This Row],[Chegada]]),"00:20:00:000")</f>
        <v>00:20:00:000</v>
      </c>
      <c r="F46" s="1" t="str" cm="1">
        <f t="array" ref="F46">IFERROR(time_diff(Tabela1[[#This Row],[TEMPO]],E45),"00:00:00:000")</f>
        <v>00:00:00:00</v>
      </c>
      <c r="G46" s="1" t="str" cm="1">
        <f t="array" aca="1" ref="G46" ca="1">IF(Tabela1[[#This Row],[N°]]=D45,time_sum(Tabela1[[#This Row],[TEMPO]],E45),Tabela1[[#This Row],[TEMPO]])</f>
        <v>00:40:00:000</v>
      </c>
      <c r="H46" s="1" t="e">
        <f>VLOOKUP(C46,LARGADA!A:B,2,FALSE)</f>
        <v>#N/A</v>
      </c>
      <c r="I46" s="1" t="e">
        <f>VLOOKUP(C46,CHEGADA!A:B,2,FALSE)</f>
        <v>#N/A</v>
      </c>
    </row>
    <row r="47" spans="4:9">
      <c r="D47" s="2" t="str">
        <f>IFERROR(LEFT(Tabela1[[#This Row],[N°S]],LEN(Tabela1[[#This Row],[N°S]])-1),"")</f>
        <v/>
      </c>
      <c r="E47" s="1" t="str" cm="1">
        <f t="array" ref="E47">IFERROR(time_diff_cor(Tabela1[[#This Row],[Largada]],Tabela1[[#This Row],[Chegada]]),"00:20:00:000")</f>
        <v>00:20:00:000</v>
      </c>
      <c r="F47" s="1" t="str" cm="1">
        <f t="array" ref="F47">IFERROR(time_diff(Tabela1[[#This Row],[TEMPO]],E46),"00:00:00:000")</f>
        <v>00:00:00:00</v>
      </c>
      <c r="G47" s="1" t="str" cm="1">
        <f t="array" aca="1" ref="G47" ca="1">IF(Tabela1[[#This Row],[N°]]=D46,time_sum(Tabela1[[#This Row],[TEMPO]],E46),Tabela1[[#This Row],[TEMPO]])</f>
        <v>00:40:00:000</v>
      </c>
      <c r="H47" s="1" t="e">
        <f>VLOOKUP(C47,LARGADA!A:B,2,FALSE)</f>
        <v>#N/A</v>
      </c>
      <c r="I47" s="1" t="e">
        <f>VLOOKUP(C47,CHEGADA!A:B,2,FALSE)</f>
        <v>#N/A</v>
      </c>
    </row>
    <row r="48" spans="4:9">
      <c r="D48" s="2" t="str">
        <f>IFERROR(LEFT(Tabela1[[#This Row],[N°S]],LEN(Tabela1[[#This Row],[N°S]])-1),"")</f>
        <v/>
      </c>
      <c r="E48" s="1" t="str" cm="1">
        <f t="array" ref="E48">IFERROR(time_diff_cor(Tabela1[[#This Row],[Largada]],Tabela1[[#This Row],[Chegada]]),"00:20:00:000")</f>
        <v>00:20:00:000</v>
      </c>
      <c r="F48" s="1" t="str" cm="1">
        <f t="array" ref="F48">IFERROR(time_diff(Tabela1[[#This Row],[TEMPO]],E47),"00:00:00:000")</f>
        <v>00:00:00:00</v>
      </c>
      <c r="G48" s="1" t="str" cm="1">
        <f t="array" aca="1" ref="G48" ca="1">IF(Tabela1[[#This Row],[N°]]=D47,time_sum(Tabela1[[#This Row],[TEMPO]],E47),Tabela1[[#This Row],[TEMPO]])</f>
        <v>00:40:00:000</v>
      </c>
      <c r="H48" s="1" t="e">
        <f>VLOOKUP(C48,LARGADA!A:B,2,FALSE)</f>
        <v>#N/A</v>
      </c>
      <c r="I48" s="1" t="e">
        <f>VLOOKUP(C48,CHEGADA!A:B,2,FALSE)</f>
        <v>#N/A</v>
      </c>
    </row>
    <row r="49" spans="4:9">
      <c r="D49" s="2" t="str">
        <f>IFERROR(LEFT(Tabela1[[#This Row],[N°S]],LEN(Tabela1[[#This Row],[N°S]])-1),"")</f>
        <v/>
      </c>
      <c r="E49" s="1" t="str" cm="1">
        <f t="array" ref="E49">IFERROR(time_diff_cor(Tabela1[[#This Row],[Largada]],Tabela1[[#This Row],[Chegada]]),"00:20:00:000")</f>
        <v>00:20:00:000</v>
      </c>
      <c r="F49" s="1" t="str" cm="1">
        <f t="array" ref="F49">IFERROR(time_diff(Tabela1[[#This Row],[TEMPO]],E48),"00:00:00:000")</f>
        <v>00:00:00:00</v>
      </c>
      <c r="G49" s="1" t="str" cm="1">
        <f t="array" aca="1" ref="G49" ca="1">IF(Tabela1[[#This Row],[N°]]=D48,time_sum(Tabela1[[#This Row],[TEMPO]],E48),Tabela1[[#This Row],[TEMPO]])</f>
        <v>00:40:00:000</v>
      </c>
      <c r="H49" s="1" t="e">
        <f>VLOOKUP(C49,LARGADA!A:B,2,FALSE)</f>
        <v>#N/A</v>
      </c>
      <c r="I49" s="1" t="e">
        <f>VLOOKUP(C49,CHEGADA!A:B,2,FALSE)</f>
        <v>#N/A</v>
      </c>
    </row>
    <row r="50" spans="4:9">
      <c r="D50" s="2" t="str">
        <f>IFERROR(LEFT(Tabela1[[#This Row],[N°S]],LEN(Tabela1[[#This Row],[N°S]])-1),"")</f>
        <v/>
      </c>
      <c r="E50" s="1" t="str" cm="1">
        <f t="array" ref="E50">IFERROR(time_diff_cor(Tabela1[[#This Row],[Largada]],Tabela1[[#This Row],[Chegada]]),"00:20:00:000")</f>
        <v>00:20:00:000</v>
      </c>
      <c r="F50" s="1" t="str" cm="1">
        <f t="array" ref="F50">IFERROR(time_diff(Tabela1[[#This Row],[TEMPO]],E49),"00:00:00:000")</f>
        <v>00:00:00:00</v>
      </c>
      <c r="G50" s="1" t="str" cm="1">
        <f t="array" aca="1" ref="G50" ca="1">IF(Tabela1[[#This Row],[N°]]=D49,time_sum(Tabela1[[#This Row],[TEMPO]],E49),Tabela1[[#This Row],[TEMPO]])</f>
        <v>00:40:00:000</v>
      </c>
      <c r="H50" s="1" t="e">
        <f>VLOOKUP(C50,LARGADA!A:B,2,FALSE)</f>
        <v>#N/A</v>
      </c>
      <c r="I50" s="1" t="e">
        <f>VLOOKUP(C50,CHEGADA!A:B,2,FALSE)</f>
        <v>#N/A</v>
      </c>
    </row>
    <row r="51" spans="4:9">
      <c r="D51" s="2" t="str">
        <f>IFERROR(LEFT(Tabela1[[#This Row],[N°S]],LEN(Tabela1[[#This Row],[N°S]])-1),"")</f>
        <v/>
      </c>
      <c r="E51" s="1" t="str" cm="1">
        <f t="array" ref="E51">IFERROR(time_diff_cor(Tabela1[[#This Row],[Largada]],Tabela1[[#This Row],[Chegada]]),"00:20:00:000")</f>
        <v>00:20:00:000</v>
      </c>
      <c r="F51" s="1" t="str" cm="1">
        <f t="array" ref="F51">IFERROR(time_diff(Tabela1[[#This Row],[TEMPO]],E50),"00:00:00:000")</f>
        <v>00:00:00:00</v>
      </c>
      <c r="G51" s="1" t="str" cm="1">
        <f t="array" aca="1" ref="G51" ca="1">IF(Tabela1[[#This Row],[N°]]=D50,time_sum(Tabela1[[#This Row],[TEMPO]],E50),Tabela1[[#This Row],[TEMPO]])</f>
        <v>00:40:00:000</v>
      </c>
      <c r="H51" s="1" t="e">
        <f>VLOOKUP(C51,LARGADA!A:B,2,FALSE)</f>
        <v>#N/A</v>
      </c>
      <c r="I51" s="1" t="e">
        <f>VLOOKUP(C51,CHEGADA!A:B,2,FALSE)</f>
        <v>#N/A</v>
      </c>
    </row>
    <row r="52" spans="4:9">
      <c r="D52" s="2" t="str">
        <f>IFERROR(LEFT(Tabela1[[#This Row],[N°S]],LEN(Tabela1[[#This Row],[N°S]])-1),"")</f>
        <v/>
      </c>
      <c r="E52" s="1" t="str" cm="1">
        <f t="array" ref="E52">IFERROR(time_diff_cor(Tabela1[[#This Row],[Largada]],Tabela1[[#This Row],[Chegada]]),"00:20:00:000")</f>
        <v>00:20:00:000</v>
      </c>
      <c r="F52" s="1" t="str" cm="1">
        <f t="array" ref="F52">IFERROR(time_diff(Tabela1[[#This Row],[TEMPO]],E51),"00:00:00:000")</f>
        <v>00:00:00:00</v>
      </c>
      <c r="G52" s="1" t="str" cm="1">
        <f t="array" aca="1" ref="G52" ca="1">IF(Tabela1[[#This Row],[N°]]=D51,time_sum(Tabela1[[#This Row],[TEMPO]],E51),Tabela1[[#This Row],[TEMPO]])</f>
        <v>00:40:00:000</v>
      </c>
      <c r="H52" s="1" t="e">
        <f>VLOOKUP(C52,LARGADA!A:B,2,FALSE)</f>
        <v>#N/A</v>
      </c>
      <c r="I52" s="1" t="e">
        <f>VLOOKUP(C52,CHEGADA!A:B,2,FALSE)</f>
        <v>#N/A</v>
      </c>
    </row>
    <row r="53" spans="4:9">
      <c r="D53" s="2" t="str">
        <f>IFERROR(LEFT(Tabela1[[#This Row],[N°S]],LEN(Tabela1[[#This Row],[N°S]])-1),"")</f>
        <v/>
      </c>
      <c r="E53" s="1" t="str" cm="1">
        <f t="array" ref="E53">IFERROR(time_diff_cor(Tabela1[[#This Row],[Largada]],Tabela1[[#This Row],[Chegada]]),"00:20:00:000")</f>
        <v>00:20:00:000</v>
      </c>
      <c r="F53" s="1" t="str" cm="1">
        <f t="array" ref="F53">IFERROR(time_diff(Tabela1[[#This Row],[TEMPO]],E52),"00:00:00:000")</f>
        <v>00:00:00:00</v>
      </c>
      <c r="G53" s="1" t="str" cm="1">
        <f t="array" aca="1" ref="G53" ca="1">IF(Tabela1[[#This Row],[N°]]=D52,time_sum(Tabela1[[#This Row],[TEMPO]],E52),Tabela1[[#This Row],[TEMPO]])</f>
        <v>00:40:00:000</v>
      </c>
      <c r="H53" s="1" t="e">
        <f>VLOOKUP(C53,LARGADA!A:B,2,FALSE)</f>
        <v>#N/A</v>
      </c>
      <c r="I53" s="1" t="e">
        <f>VLOOKUP(C53,CHEGADA!A:B,2,FALSE)</f>
        <v>#N/A</v>
      </c>
    </row>
    <row r="54" spans="4:9">
      <c r="D54" s="2" t="str">
        <f>IFERROR(LEFT(Tabela1[[#This Row],[N°S]],LEN(Tabela1[[#This Row],[N°S]])-1),"")</f>
        <v/>
      </c>
      <c r="E54" s="1" t="str" cm="1">
        <f t="array" ref="E54">IFERROR(time_diff_cor(Tabela1[[#This Row],[Largada]],Tabela1[[#This Row],[Chegada]]),"00:20:00:000")</f>
        <v>00:20:00:000</v>
      </c>
      <c r="F54" s="1" t="str" cm="1">
        <f t="array" ref="F54">IFERROR(time_diff(Tabela1[[#This Row],[TEMPO]],E53),"00:00:00:000")</f>
        <v>00:00:00:00</v>
      </c>
      <c r="G54" s="1" t="str" cm="1">
        <f t="array" aca="1" ref="G54" ca="1">IF(Tabela1[[#This Row],[N°]]=D53,time_sum(Tabela1[[#This Row],[TEMPO]],E53),Tabela1[[#This Row],[TEMPO]])</f>
        <v>00:40:00:000</v>
      </c>
      <c r="H54" s="1" t="e">
        <f>VLOOKUP(C54,LARGADA!A:B,2,FALSE)</f>
        <v>#N/A</v>
      </c>
      <c r="I54" s="1" t="e">
        <f>VLOOKUP(C54,CHEGADA!A:B,2,FALSE)</f>
        <v>#N/A</v>
      </c>
    </row>
    <row r="55" spans="4:9">
      <c r="D55" s="2" t="str">
        <f>IFERROR(LEFT(Tabela1[[#This Row],[N°S]],LEN(Tabela1[[#This Row],[N°S]])-1),"")</f>
        <v/>
      </c>
      <c r="E55" s="1" t="str" cm="1">
        <f t="array" ref="E55">IFERROR(time_diff_cor(Tabela1[[#This Row],[Largada]],Tabela1[[#This Row],[Chegada]]),"00:20:00:000")</f>
        <v>00:20:00:000</v>
      </c>
      <c r="F55" s="1" t="str" cm="1">
        <f t="array" ref="F55">IFERROR(time_diff(Tabela1[[#This Row],[TEMPO]],E54),"00:00:00:000")</f>
        <v>00:00:00:00</v>
      </c>
      <c r="G55" s="1" t="str" cm="1">
        <f t="array" aca="1" ref="G55" ca="1">IF(Tabela1[[#This Row],[N°]]=D54,time_sum(Tabela1[[#This Row],[TEMPO]],E54),Tabela1[[#This Row],[TEMPO]])</f>
        <v>00:40:00:000</v>
      </c>
      <c r="H55" s="1" t="e">
        <f>VLOOKUP(C55,LARGADA!A:B,2,FALSE)</f>
        <v>#N/A</v>
      </c>
      <c r="I55" s="1" t="e">
        <f>VLOOKUP(C55,CHEGADA!A:B,2,FALSE)</f>
        <v>#N/A</v>
      </c>
    </row>
    <row r="56" spans="4:9">
      <c r="D56" s="2" t="str">
        <f>IFERROR(LEFT(Tabela1[[#This Row],[N°S]],LEN(Tabela1[[#This Row],[N°S]])-1),"")</f>
        <v/>
      </c>
      <c r="E56" s="1" t="str" cm="1">
        <f t="array" ref="E56">IFERROR(time_diff_cor(Tabela1[[#This Row],[Largada]],Tabela1[[#This Row],[Chegada]]),"00:20:00:000")</f>
        <v>00:20:00:000</v>
      </c>
      <c r="F56" s="1" t="str" cm="1">
        <f t="array" ref="F56">IFERROR(time_diff(Tabela1[[#This Row],[TEMPO]],E55),"00:00:00:000")</f>
        <v>00:00:00:00</v>
      </c>
      <c r="G56" s="1" t="str" cm="1">
        <f t="array" aca="1" ref="G56" ca="1">IF(Tabela1[[#This Row],[N°]]=D55,time_sum(Tabela1[[#This Row],[TEMPO]],E55),Tabela1[[#This Row],[TEMPO]])</f>
        <v>00:40:00:000</v>
      </c>
      <c r="H56" s="1" t="e">
        <f>VLOOKUP(C56,LARGADA!A:B,2,FALSE)</f>
        <v>#N/A</v>
      </c>
      <c r="I56" s="1" t="e">
        <f>VLOOKUP(C56,CHEGADA!A:B,2,FALSE)</f>
        <v>#N/A</v>
      </c>
    </row>
    <row r="57" spans="4:9">
      <c r="D57" s="2" t="str">
        <f>IFERROR(LEFT(Tabela1[[#This Row],[N°S]],LEN(Tabela1[[#This Row],[N°S]])-1),"")</f>
        <v/>
      </c>
      <c r="E57" s="1" t="str" cm="1">
        <f t="array" ref="E57">IFERROR(time_diff_cor(Tabela1[[#This Row],[Largada]],Tabela1[[#This Row],[Chegada]]),"00:20:00:000")</f>
        <v>00:20:00:000</v>
      </c>
      <c r="F57" s="1" t="str" cm="1">
        <f t="array" ref="F57">IFERROR(time_diff(Tabela1[[#This Row],[TEMPO]],E56),"00:00:00:000")</f>
        <v>00:00:00:00</v>
      </c>
      <c r="G57" s="1" t="str" cm="1">
        <f t="array" aca="1" ref="G57" ca="1">IF(Tabela1[[#This Row],[N°]]=D56,time_sum(Tabela1[[#This Row],[TEMPO]],E56),Tabela1[[#This Row],[TEMPO]])</f>
        <v>00:40:00:000</v>
      </c>
      <c r="H57" s="1" t="e">
        <f>VLOOKUP(C57,LARGADA!A:B,2,FALSE)</f>
        <v>#N/A</v>
      </c>
      <c r="I57" s="1" t="e">
        <f>VLOOKUP(C57,CHEGADA!A:B,2,FALSE)</f>
        <v>#N/A</v>
      </c>
    </row>
    <row r="58" spans="4:9">
      <c r="D58" s="2" t="str">
        <f>IFERROR(LEFT(Tabela1[[#This Row],[N°S]],LEN(Tabela1[[#This Row],[N°S]])-1),"")</f>
        <v/>
      </c>
      <c r="E58" s="1" t="str" cm="1">
        <f t="array" ref="E58">IFERROR(time_diff_cor(Tabela1[[#This Row],[Largada]],Tabela1[[#This Row],[Chegada]]),"00:20:00:000")</f>
        <v>00:20:00:000</v>
      </c>
      <c r="F58" s="1" t="str" cm="1">
        <f t="array" ref="F58">IFERROR(time_diff(Tabela1[[#This Row],[TEMPO]],E57),"00:00:00:000")</f>
        <v>00:00:00:00</v>
      </c>
      <c r="G58" s="1" t="str" cm="1">
        <f t="array" aca="1" ref="G58" ca="1">IF(Tabela1[[#This Row],[N°]]=D57,time_sum(Tabela1[[#This Row],[TEMPO]],E57),Tabela1[[#This Row],[TEMPO]])</f>
        <v>00:40:00:000</v>
      </c>
      <c r="H58" s="1" t="e">
        <f>VLOOKUP(C58,LARGADA!A:B,2,FALSE)</f>
        <v>#N/A</v>
      </c>
      <c r="I58" s="1" t="e">
        <f>VLOOKUP(C58,CHEGADA!A:B,2,FALSE)</f>
        <v>#N/A</v>
      </c>
    </row>
    <row r="59" spans="4:9">
      <c r="D59" s="2" t="str">
        <f>IFERROR(LEFT(Tabela1[[#This Row],[N°S]],LEN(Tabela1[[#This Row],[N°S]])-1),"")</f>
        <v/>
      </c>
      <c r="E59" s="1" t="str" cm="1">
        <f t="array" ref="E59">IFERROR(time_diff_cor(Tabela1[[#This Row],[Largada]],Tabela1[[#This Row],[Chegada]]),"00:20:00:000")</f>
        <v>00:20:00:000</v>
      </c>
      <c r="F59" s="1" t="str" cm="1">
        <f t="array" ref="F59">IFERROR(time_diff(Tabela1[[#This Row],[TEMPO]],E58),"00:00:00:000")</f>
        <v>00:00:00:00</v>
      </c>
      <c r="G59" s="1" t="str" cm="1">
        <f t="array" aca="1" ref="G59" ca="1">IF(Tabela1[[#This Row],[N°]]=D58,time_sum(Tabela1[[#This Row],[TEMPO]],E58),Tabela1[[#This Row],[TEMPO]])</f>
        <v>00:40:00:000</v>
      </c>
      <c r="H59" s="1" t="e">
        <f>VLOOKUP(C59,LARGADA!A:B,2,FALSE)</f>
        <v>#N/A</v>
      </c>
      <c r="I59" s="1" t="e">
        <f>VLOOKUP(C59,CHEGADA!A:B,2,FALSE)</f>
        <v>#N/A</v>
      </c>
    </row>
    <row r="60" spans="4:9">
      <c r="D60" s="2" t="str">
        <f>IFERROR(LEFT(Tabela1[[#This Row],[N°S]],LEN(Tabela1[[#This Row],[N°S]])-1),"")</f>
        <v/>
      </c>
      <c r="E60" s="1" t="str" cm="1">
        <f t="array" ref="E60">IFERROR(time_diff_cor(Tabela1[[#This Row],[Largada]],Tabela1[[#This Row],[Chegada]]),"00:20:00:000")</f>
        <v>00:20:00:000</v>
      </c>
      <c r="F60" s="1" t="str" cm="1">
        <f t="array" ref="F60">IFERROR(time_diff(Tabela1[[#This Row],[TEMPO]],E59),"00:00:00:000")</f>
        <v>00:00:00:00</v>
      </c>
      <c r="G60" s="1" t="str" cm="1">
        <f t="array" aca="1" ref="G60" ca="1">IF(Tabela1[[#This Row],[N°]]=D59,time_sum(Tabela1[[#This Row],[TEMPO]],E59),Tabela1[[#This Row],[TEMPO]])</f>
        <v>00:40:00:000</v>
      </c>
      <c r="H60" s="1" t="e">
        <f>VLOOKUP(C60,LARGADA!A:B,2,FALSE)</f>
        <v>#N/A</v>
      </c>
      <c r="I60" s="1" t="e">
        <f>VLOOKUP(C60,CHEGADA!A:B,2,FALSE)</f>
        <v>#N/A</v>
      </c>
    </row>
    <row r="61" spans="4:9">
      <c r="D61" s="2" t="str">
        <f>IFERROR(LEFT(Tabela1[[#This Row],[N°S]],LEN(Tabela1[[#This Row],[N°S]])-1),"")</f>
        <v/>
      </c>
      <c r="E61" s="1" t="str" cm="1">
        <f t="array" ref="E61">IFERROR(time_diff_cor(Tabela1[[#This Row],[Largada]],Tabela1[[#This Row],[Chegada]]),"00:20:00:000")</f>
        <v>00:20:00:000</v>
      </c>
      <c r="F61" s="1" t="str" cm="1">
        <f t="array" ref="F61">IFERROR(time_diff(Tabela1[[#This Row],[TEMPO]],E60),"00:00:00:000")</f>
        <v>00:00:00:00</v>
      </c>
      <c r="G61" s="1" t="str" cm="1">
        <f t="array" aca="1" ref="G61" ca="1">IF(Tabela1[[#This Row],[N°]]=D60,time_sum(Tabela1[[#This Row],[TEMPO]],E60),Tabela1[[#This Row],[TEMPO]])</f>
        <v>00:40:00:000</v>
      </c>
      <c r="H61" s="1" t="e">
        <f>VLOOKUP(C61,LARGADA!A:B,2,FALSE)</f>
        <v>#N/A</v>
      </c>
      <c r="I61" s="1" t="e">
        <f>VLOOKUP(C61,CHEGADA!A:B,2,FALSE)</f>
        <v>#N/A</v>
      </c>
    </row>
    <row r="62" spans="4:9">
      <c r="D62" s="2" t="str">
        <f>IFERROR(LEFT(Tabela1[[#This Row],[N°S]],LEN(Tabela1[[#This Row],[N°S]])-1),"")</f>
        <v/>
      </c>
      <c r="E62" s="1" t="str" cm="1">
        <f t="array" ref="E62">IFERROR(time_diff_cor(Tabela1[[#This Row],[Largada]],Tabela1[[#This Row],[Chegada]]),"00:20:00:000")</f>
        <v>00:20:00:000</v>
      </c>
      <c r="F62" s="1" t="str" cm="1">
        <f t="array" ref="F62">IFERROR(time_diff(Tabela1[[#This Row],[TEMPO]],E61),"00:00:00:000")</f>
        <v>00:00:00:00</v>
      </c>
      <c r="G62" s="1" t="str" cm="1">
        <f t="array" aca="1" ref="G62" ca="1">IF(Tabela1[[#This Row],[N°]]=D61,time_sum(Tabela1[[#This Row],[TEMPO]],E61),Tabela1[[#This Row],[TEMPO]])</f>
        <v>00:40:00:000</v>
      </c>
      <c r="H62" s="1" t="e">
        <f>VLOOKUP(C62,LARGADA!A:B,2,FALSE)</f>
        <v>#N/A</v>
      </c>
      <c r="I62" s="1" t="e">
        <f>VLOOKUP(C62,CHEGADA!A:B,2,FALSE)</f>
        <v>#N/A</v>
      </c>
    </row>
    <row r="63" spans="4:9">
      <c r="D63" s="2" t="str">
        <f>IFERROR(LEFT(Tabela1[[#This Row],[N°S]],LEN(Tabela1[[#This Row],[N°S]])-1),"")</f>
        <v/>
      </c>
      <c r="E63" s="1" t="str" cm="1">
        <f t="array" ref="E63">IFERROR(time_diff_cor(Tabela1[[#This Row],[Largada]],Tabela1[[#This Row],[Chegada]]),"00:20:00:000")</f>
        <v>00:20:00:000</v>
      </c>
      <c r="F63" s="1" t="str" cm="1">
        <f t="array" ref="F63">IFERROR(time_diff(Tabela1[[#This Row],[TEMPO]],E62),"00:00:00:000")</f>
        <v>00:00:00:00</v>
      </c>
      <c r="G63" s="1" t="str" cm="1">
        <f t="array" aca="1" ref="G63" ca="1">IF(Tabela1[[#This Row],[N°]]=D62,time_sum(Tabela1[[#This Row],[TEMPO]],E62),Tabela1[[#This Row],[TEMPO]])</f>
        <v>00:40:00:000</v>
      </c>
      <c r="H63" s="1" t="e">
        <f>VLOOKUP(C63,LARGADA!A:B,2,FALSE)</f>
        <v>#N/A</v>
      </c>
      <c r="I63" s="1" t="e">
        <f>VLOOKUP(C63,CHEGADA!A:B,2,FALSE)</f>
        <v>#N/A</v>
      </c>
    </row>
    <row r="64" spans="4:9">
      <c r="D64" s="2" t="str">
        <f>IFERROR(LEFT(Tabela1[[#This Row],[N°S]],LEN(Tabela1[[#This Row],[N°S]])-1),"")</f>
        <v/>
      </c>
      <c r="E64" s="1" t="str" cm="1">
        <f t="array" ref="E64">IFERROR(time_diff_cor(Tabela1[[#This Row],[Largada]],Tabela1[[#This Row],[Chegada]]),"00:20:00:000")</f>
        <v>00:20:00:000</v>
      </c>
      <c r="F64" s="1" t="str" cm="1">
        <f t="array" ref="F64">IFERROR(time_diff(Tabela1[[#This Row],[TEMPO]],E63),"00:00:00:000")</f>
        <v>00:00:00:00</v>
      </c>
      <c r="G64" s="1" t="str" cm="1">
        <f t="array" aca="1" ref="G64" ca="1">IF(Tabela1[[#This Row],[N°]]=D63,time_sum(Tabela1[[#This Row],[TEMPO]],E63),Tabela1[[#This Row],[TEMPO]])</f>
        <v>00:40:00:000</v>
      </c>
      <c r="H64" s="1" t="e">
        <f>VLOOKUP(C64,LARGADA!A:B,2,FALSE)</f>
        <v>#N/A</v>
      </c>
      <c r="I64" s="1" t="e">
        <f>VLOOKUP(C64,CHEGADA!A:B,2,FALSE)</f>
        <v>#N/A</v>
      </c>
    </row>
    <row r="65" spans="4:9">
      <c r="D65" s="2" t="str">
        <f>IFERROR(LEFT(Tabela1[[#This Row],[N°S]],LEN(Tabela1[[#This Row],[N°S]])-1),"")</f>
        <v/>
      </c>
      <c r="E65" s="1" t="str" cm="1">
        <f t="array" ref="E65">IFERROR(time_diff_cor(Tabela1[[#This Row],[Largada]],Tabela1[[#This Row],[Chegada]]),"00:20:00:000")</f>
        <v>00:20:00:000</v>
      </c>
      <c r="F65" s="1" t="str" cm="1">
        <f t="array" ref="F65">IFERROR(time_diff(Tabela1[[#This Row],[TEMPO]],E64),"00:00:00:000")</f>
        <v>00:00:00:00</v>
      </c>
      <c r="G65" s="1" t="str" cm="1">
        <f t="array" aca="1" ref="G65" ca="1">IF(Tabela1[[#This Row],[N°]]=D64,time_sum(Tabela1[[#This Row],[TEMPO]],E64),Tabela1[[#This Row],[TEMPO]])</f>
        <v>00:40:00:000</v>
      </c>
      <c r="H65" s="1" t="e">
        <f>VLOOKUP(C65,LARGADA!A:B,2,FALSE)</f>
        <v>#N/A</v>
      </c>
      <c r="I65" s="1" t="e">
        <f>VLOOKUP(C65,CHEGADA!A:B,2,FALSE)</f>
        <v>#N/A</v>
      </c>
    </row>
    <row r="66" spans="4:9">
      <c r="D66" s="2" t="str">
        <f>IFERROR(LEFT(Tabela1[[#This Row],[N°S]],LEN(Tabela1[[#This Row],[N°S]])-1),"")</f>
        <v/>
      </c>
      <c r="E66" s="1" t="str" cm="1">
        <f t="array" ref="E66">IFERROR(time_diff_cor(Tabela1[[#This Row],[Largada]],Tabela1[[#This Row],[Chegada]]),"00:20:00:000")</f>
        <v>00:20:00:000</v>
      </c>
      <c r="F66" s="1" t="str" cm="1">
        <f t="array" ref="F66">IFERROR(time_diff(Tabela1[[#This Row],[TEMPO]],E65),"00:00:00:000")</f>
        <v>00:00:00:00</v>
      </c>
      <c r="G66" s="1" t="str" cm="1">
        <f t="array" aca="1" ref="G66" ca="1">IF(Tabela1[[#This Row],[N°]]=D65,time_sum(Tabela1[[#This Row],[TEMPO]],E65),Tabela1[[#This Row],[TEMPO]])</f>
        <v>00:40:00:000</v>
      </c>
      <c r="H66" s="1" t="e">
        <f>VLOOKUP(C66,LARGADA!A:B,2,FALSE)</f>
        <v>#N/A</v>
      </c>
      <c r="I66" s="1" t="e">
        <f>VLOOKUP(C66,CHEGADA!A:B,2,FALSE)</f>
        <v>#N/A</v>
      </c>
    </row>
    <row r="67" spans="4:9">
      <c r="D67" s="2" t="str">
        <f>IFERROR(LEFT(Tabela1[[#This Row],[N°S]],LEN(Tabela1[[#This Row],[N°S]])-1),"")</f>
        <v/>
      </c>
      <c r="E67" s="1" t="str" cm="1">
        <f t="array" ref="E67">IFERROR(time_diff_cor(Tabela1[[#This Row],[Largada]],Tabela1[[#This Row],[Chegada]]),"00:20:00:000")</f>
        <v>00:20:00:000</v>
      </c>
      <c r="F67" s="1" t="str" cm="1">
        <f t="array" ref="F67">IFERROR(time_diff(Tabela1[[#This Row],[TEMPO]],E66),"00:00:00:000")</f>
        <v>00:00:00:00</v>
      </c>
      <c r="G67" s="1" t="str" cm="1">
        <f t="array" aca="1" ref="G67" ca="1">IF(Tabela1[[#This Row],[N°]]=D66,time_sum(Tabela1[[#This Row],[TEMPO]],E66),Tabela1[[#This Row],[TEMPO]])</f>
        <v>00:40:00:000</v>
      </c>
      <c r="H67" s="1" t="e">
        <f>VLOOKUP(C67,LARGADA!A:B,2,FALSE)</f>
        <v>#N/A</v>
      </c>
      <c r="I67" s="1" t="e">
        <f>VLOOKUP(C67,CHEGADA!A:B,2,FALSE)</f>
        <v>#N/A</v>
      </c>
    </row>
    <row r="68" spans="4:9">
      <c r="D68" s="2" t="str">
        <f>IFERROR(LEFT(Tabela1[[#This Row],[N°S]],LEN(Tabela1[[#This Row],[N°S]])-1),"")</f>
        <v/>
      </c>
      <c r="E68" s="1" t="str" cm="1">
        <f t="array" ref="E68">IFERROR(time_diff_cor(Tabela1[[#This Row],[Largada]],Tabela1[[#This Row],[Chegada]]),"00:20:00:000")</f>
        <v>00:20:00:000</v>
      </c>
      <c r="F68" s="1" t="str" cm="1">
        <f t="array" ref="F68">IFERROR(time_diff(Tabela1[[#This Row],[TEMPO]],E67),"00:00:00:000")</f>
        <v>00:00:00:00</v>
      </c>
      <c r="G68" s="1" t="str" cm="1">
        <f t="array" aca="1" ref="G68" ca="1">IF(Tabela1[[#This Row],[N°]]=D67,time_sum(Tabela1[[#This Row],[TEMPO]],E67),Tabela1[[#This Row],[TEMPO]])</f>
        <v>00:40:00:000</v>
      </c>
      <c r="H68" s="1" t="e">
        <f>VLOOKUP(C68,LARGADA!A:B,2,FALSE)</f>
        <v>#N/A</v>
      </c>
      <c r="I68" s="1" t="e">
        <f>VLOOKUP(C68,CHEGADA!A:B,2,FALSE)</f>
        <v>#N/A</v>
      </c>
    </row>
    <row r="69" spans="4:9">
      <c r="D69" s="2" t="str">
        <f>IFERROR(LEFT(Tabela1[[#This Row],[N°S]],LEN(Tabela1[[#This Row],[N°S]])-1),"")</f>
        <v/>
      </c>
      <c r="E69" s="1" t="str" cm="1">
        <f t="array" ref="E69">IFERROR(time_diff_cor(Tabela1[[#This Row],[Largada]],Tabela1[[#This Row],[Chegada]]),"00:20:00:000")</f>
        <v>00:20:00:000</v>
      </c>
      <c r="F69" s="1" t="str" cm="1">
        <f t="array" ref="F69">IFERROR(time_diff(Tabela1[[#This Row],[TEMPO]],E68),"00:00:00:000")</f>
        <v>00:00:00:00</v>
      </c>
      <c r="G69" s="1" t="str" cm="1">
        <f t="array" aca="1" ref="G69" ca="1">IF(Tabela1[[#This Row],[N°]]=D68,time_sum(Tabela1[[#This Row],[TEMPO]],E68),Tabela1[[#This Row],[TEMPO]])</f>
        <v>00:40:00:000</v>
      </c>
      <c r="H69" s="1" t="e">
        <f>VLOOKUP(C69,LARGADA!A:B,2,FALSE)</f>
        <v>#N/A</v>
      </c>
      <c r="I69" s="1" t="e">
        <f>VLOOKUP(C69,CHEGADA!A:B,2,FALSE)</f>
        <v>#N/A</v>
      </c>
    </row>
    <row r="70" spans="4:9">
      <c r="D70" s="2" t="str">
        <f>IFERROR(LEFT(Tabela1[[#This Row],[N°S]],LEN(Tabela1[[#This Row],[N°S]])-1),"")</f>
        <v/>
      </c>
      <c r="E70" s="1" t="str" cm="1">
        <f t="array" ref="E70">IFERROR(time_diff_cor(Tabela1[[#This Row],[Largada]],Tabela1[[#This Row],[Chegada]]),"00:20:00:000")</f>
        <v>00:20:00:000</v>
      </c>
      <c r="F70" s="1" t="str" cm="1">
        <f t="array" ref="F70">IFERROR(time_diff(Tabela1[[#This Row],[TEMPO]],E69),"00:00:00:000")</f>
        <v>00:00:00:00</v>
      </c>
      <c r="G70" s="1" t="str" cm="1">
        <f t="array" aca="1" ref="G70" ca="1">IF(Tabela1[[#This Row],[N°]]=D69,time_sum(Tabela1[[#This Row],[TEMPO]],E69),Tabela1[[#This Row],[TEMPO]])</f>
        <v>00:40:00:000</v>
      </c>
      <c r="H70" s="1" t="e">
        <f>VLOOKUP(C70,LARGADA!A:B,2,FALSE)</f>
        <v>#N/A</v>
      </c>
      <c r="I70" s="1" t="e">
        <f>VLOOKUP(C70,CHEGADA!A:B,2,FALSE)</f>
        <v>#N/A</v>
      </c>
    </row>
    <row r="71" spans="4:9">
      <c r="D71" s="2" t="str">
        <f>IFERROR(LEFT(Tabela1[[#This Row],[N°S]],LEN(Tabela1[[#This Row],[N°S]])-1),"")</f>
        <v/>
      </c>
      <c r="E71" s="1" t="str" cm="1">
        <f t="array" ref="E71">IFERROR(time_diff_cor(Tabela1[[#This Row],[Largada]],Tabela1[[#This Row],[Chegada]]),"00:20:00:000")</f>
        <v>00:20:00:000</v>
      </c>
      <c r="F71" s="1" t="str" cm="1">
        <f t="array" ref="F71">IFERROR(time_diff(Tabela1[[#This Row],[TEMPO]],E70),"00:00:00:000")</f>
        <v>00:00:00:00</v>
      </c>
      <c r="G71" s="1" t="str" cm="1">
        <f t="array" aca="1" ref="G71" ca="1">IF(Tabela1[[#This Row],[N°]]=D70,time_sum(Tabela1[[#This Row],[TEMPO]],E70),Tabela1[[#This Row],[TEMPO]])</f>
        <v>00:40:00:000</v>
      </c>
      <c r="H71" s="1" t="e">
        <f>VLOOKUP(C71,LARGADA!A:B,2,FALSE)</f>
        <v>#N/A</v>
      </c>
      <c r="I71" s="1" t="e">
        <f>VLOOKUP(C71,CHEGADA!A:B,2,FALSE)</f>
        <v>#N/A</v>
      </c>
    </row>
    <row r="72" spans="4:9">
      <c r="D72" s="2" t="str">
        <f>IFERROR(LEFT(Tabela1[[#This Row],[N°S]],LEN(Tabela1[[#This Row],[N°S]])-1),"")</f>
        <v/>
      </c>
      <c r="E72" s="1" t="str" cm="1">
        <f t="array" ref="E72">IFERROR(time_diff_cor(Tabela1[[#This Row],[Largada]],Tabela1[[#This Row],[Chegada]]),"00:20:00:000")</f>
        <v>00:20:00:000</v>
      </c>
      <c r="F72" s="1" t="str" cm="1">
        <f t="array" ref="F72">IFERROR(time_diff(Tabela1[[#This Row],[TEMPO]],E71),"00:00:00:000")</f>
        <v>00:00:00:00</v>
      </c>
      <c r="G72" s="1" t="str" cm="1">
        <f t="array" aca="1" ref="G72" ca="1">IF(Tabela1[[#This Row],[N°]]=D71,time_sum(Tabela1[[#This Row],[TEMPO]],E71),Tabela1[[#This Row],[TEMPO]])</f>
        <v>00:40:00:000</v>
      </c>
      <c r="H72" s="1" t="e">
        <f>VLOOKUP(C72,LARGADA!A:B,2,FALSE)</f>
        <v>#N/A</v>
      </c>
      <c r="I72" s="1" t="e">
        <f>VLOOKUP(C72,CHEGADA!A:B,2,FALSE)</f>
        <v>#N/A</v>
      </c>
    </row>
    <row r="73" spans="4:9">
      <c r="D73" s="2" t="str">
        <f>IFERROR(LEFT(Tabela1[[#This Row],[N°S]],LEN(Tabela1[[#This Row],[N°S]])-1),"")</f>
        <v/>
      </c>
      <c r="E73" s="1" t="str" cm="1">
        <f t="array" ref="E73">IFERROR(time_diff_cor(Tabela1[[#This Row],[Largada]],Tabela1[[#This Row],[Chegada]]),"00:20:00:000")</f>
        <v>00:20:00:000</v>
      </c>
      <c r="F73" s="1" t="str" cm="1">
        <f t="array" ref="F73">IFERROR(time_diff(Tabela1[[#This Row],[TEMPO]],E72),"00:00:00:000")</f>
        <v>00:00:00:00</v>
      </c>
      <c r="G73" s="1" t="str" cm="1">
        <f t="array" aca="1" ref="G73" ca="1">IF(Tabela1[[#This Row],[N°]]=D72,time_sum(Tabela1[[#This Row],[TEMPO]],E72),Tabela1[[#This Row],[TEMPO]])</f>
        <v>00:40:00:000</v>
      </c>
      <c r="H73" s="1" t="e">
        <f>VLOOKUP(C73,LARGADA!A:B,2,FALSE)</f>
        <v>#N/A</v>
      </c>
      <c r="I73" s="1" t="e">
        <f>VLOOKUP(C73,CHEGADA!A:B,2,FALSE)</f>
        <v>#N/A</v>
      </c>
    </row>
    <row r="74" spans="4:9">
      <c r="D74" s="2" t="str">
        <f>IFERROR(LEFT(Tabela1[[#This Row],[N°S]],LEN(Tabela1[[#This Row],[N°S]])-1),"")</f>
        <v/>
      </c>
      <c r="E74" s="1" t="str" cm="1">
        <f t="array" ref="E74">IFERROR(time_diff_cor(Tabela1[[#This Row],[Largada]],Tabela1[[#This Row],[Chegada]]),"00:20:00:000")</f>
        <v>00:20:00:000</v>
      </c>
      <c r="F74" s="1" t="str" cm="1">
        <f t="array" ref="F74">IFERROR(time_diff(Tabela1[[#This Row],[TEMPO]],E73),"00:00:00:000")</f>
        <v>00:00:00:00</v>
      </c>
      <c r="G74" s="1" t="str" cm="1">
        <f t="array" aca="1" ref="G74" ca="1">IF(Tabela1[[#This Row],[N°]]=D73,time_sum(Tabela1[[#This Row],[TEMPO]],E73),Tabela1[[#This Row],[TEMPO]])</f>
        <v>00:40:00:000</v>
      </c>
      <c r="H74" s="1" t="e">
        <f>VLOOKUP(C74,LARGADA!A:B,2,FALSE)</f>
        <v>#N/A</v>
      </c>
      <c r="I74" s="1" t="e">
        <f>VLOOKUP(C74,CHEGADA!A:B,2,FALSE)</f>
        <v>#N/A</v>
      </c>
    </row>
    <row r="75" spans="4:9">
      <c r="D75" s="2" t="str">
        <f>IFERROR(LEFT(Tabela1[[#This Row],[N°S]],LEN(Tabela1[[#This Row],[N°S]])-1),"")</f>
        <v/>
      </c>
      <c r="E75" s="1" t="str" cm="1">
        <f t="array" ref="E75">IFERROR(time_diff_cor(Tabela1[[#This Row],[Largada]],Tabela1[[#This Row],[Chegada]]),"00:20:00:000")</f>
        <v>00:20:00:000</v>
      </c>
      <c r="F75" s="1" t="str" cm="1">
        <f t="array" ref="F75">IFERROR(time_diff(Tabela1[[#This Row],[TEMPO]],E74),"00:00:00:000")</f>
        <v>00:00:00:00</v>
      </c>
      <c r="G75" s="1" t="str" cm="1">
        <f t="array" aca="1" ref="G75" ca="1">IF(Tabela1[[#This Row],[N°]]=D74,time_sum(Tabela1[[#This Row],[TEMPO]],E74),Tabela1[[#This Row],[TEMPO]])</f>
        <v>00:40:00:000</v>
      </c>
      <c r="H75" s="1" t="e">
        <f>VLOOKUP(C75,LARGADA!A:B,2,FALSE)</f>
        <v>#N/A</v>
      </c>
      <c r="I75" s="1" t="e">
        <f>VLOOKUP(C75,CHEGADA!A:B,2,FALSE)</f>
        <v>#N/A</v>
      </c>
    </row>
    <row r="76" spans="4:9">
      <c r="D76" s="2" t="str">
        <f>IFERROR(LEFT(Tabela1[[#This Row],[N°S]],LEN(Tabela1[[#This Row],[N°S]])-1),"")</f>
        <v/>
      </c>
      <c r="E76" s="1" t="str" cm="1">
        <f t="array" ref="E76">IFERROR(time_diff_cor(Tabela1[[#This Row],[Largada]],Tabela1[[#This Row],[Chegada]]),"00:20:00:000")</f>
        <v>00:20:00:000</v>
      </c>
      <c r="F76" s="1" t="str" cm="1">
        <f t="array" ref="F76">IFERROR(time_diff(Tabela1[[#This Row],[TEMPO]],E75),"00:00:00:000")</f>
        <v>00:00:00:00</v>
      </c>
      <c r="G76" s="1" t="str" cm="1">
        <f t="array" aca="1" ref="G76" ca="1">IF(Tabela1[[#This Row],[N°]]=D75,time_sum(Tabela1[[#This Row],[TEMPO]],E75),Tabela1[[#This Row],[TEMPO]])</f>
        <v>00:40:00:000</v>
      </c>
      <c r="H76" s="1" t="e">
        <f>VLOOKUP(C76,LARGADA!A:B,2,FALSE)</f>
        <v>#N/A</v>
      </c>
      <c r="I76" s="1" t="e">
        <f>VLOOKUP(C76,CHEGADA!A:B,2,FALSE)</f>
        <v>#N/A</v>
      </c>
    </row>
    <row r="77" spans="4:9">
      <c r="D77" s="2" t="str">
        <f>IFERROR(LEFT(Tabela1[[#This Row],[N°S]],LEN(Tabela1[[#This Row],[N°S]])-1),"")</f>
        <v/>
      </c>
      <c r="E77" s="1" t="str" cm="1">
        <f t="array" ref="E77">IFERROR(time_diff_cor(Tabela1[[#This Row],[Largada]],Tabela1[[#This Row],[Chegada]]),"00:20:00:000")</f>
        <v>00:20:00:000</v>
      </c>
      <c r="F77" s="1" t="str" cm="1">
        <f t="array" ref="F77">IFERROR(time_diff(Tabela1[[#This Row],[TEMPO]],E76),"00:00:00:000")</f>
        <v>00:00:00:00</v>
      </c>
      <c r="G77" s="1" t="str" cm="1">
        <f t="array" aca="1" ref="G77" ca="1">IF(Tabela1[[#This Row],[N°]]=D76,time_sum(Tabela1[[#This Row],[TEMPO]],E76),Tabela1[[#This Row],[TEMPO]])</f>
        <v>00:40:00:000</v>
      </c>
      <c r="H77" s="1" t="e">
        <f>VLOOKUP(C77,LARGADA!A:B,2,FALSE)</f>
        <v>#N/A</v>
      </c>
      <c r="I77" s="1" t="e">
        <f>VLOOKUP(C77,CHEGADA!A:B,2,FALSE)</f>
        <v>#N/A</v>
      </c>
    </row>
    <row r="78" spans="4:9">
      <c r="D78" s="2" t="str">
        <f>IFERROR(LEFT(Tabela1[[#This Row],[N°S]],LEN(Tabela1[[#This Row],[N°S]])-1),"")</f>
        <v/>
      </c>
      <c r="E78" s="1" t="str" cm="1">
        <f t="array" ref="E78">IFERROR(time_diff_cor(Tabela1[[#This Row],[Largada]],Tabela1[[#This Row],[Chegada]]),"00:20:00:000")</f>
        <v>00:20:00:000</v>
      </c>
      <c r="F78" s="1" t="str" cm="1">
        <f t="array" ref="F78">IFERROR(time_diff(Tabela1[[#This Row],[TEMPO]],E77),"00:00:00:000")</f>
        <v>00:00:00:00</v>
      </c>
      <c r="G78" s="1" t="str" cm="1">
        <f t="array" aca="1" ref="G78" ca="1">IF(Tabela1[[#This Row],[N°]]=D77,time_sum(Tabela1[[#This Row],[TEMPO]],E77),Tabela1[[#This Row],[TEMPO]])</f>
        <v>00:40:00:000</v>
      </c>
      <c r="H78" s="1" t="e">
        <f>VLOOKUP(C78,LARGADA!A:B,2,FALSE)</f>
        <v>#N/A</v>
      </c>
      <c r="I78" s="1" t="e">
        <f>VLOOKUP(C78,CHEGADA!A:B,2,FALSE)</f>
        <v>#N/A</v>
      </c>
    </row>
    <row r="79" spans="4:9">
      <c r="D79" s="2" t="str">
        <f>IFERROR(LEFT(Tabela1[[#This Row],[N°S]],LEN(Tabela1[[#This Row],[N°S]])-1),"")</f>
        <v/>
      </c>
      <c r="E79" s="1" t="str" cm="1">
        <f t="array" ref="E79">IFERROR(time_diff_cor(Tabela1[[#This Row],[Largada]],Tabela1[[#This Row],[Chegada]]),"00:20:00:000")</f>
        <v>00:20:00:000</v>
      </c>
      <c r="F79" s="1" t="str" cm="1">
        <f t="array" ref="F79">IFERROR(time_diff(Tabela1[[#This Row],[TEMPO]],E78),"00:00:00:000")</f>
        <v>00:00:00:00</v>
      </c>
      <c r="G79" s="1" t="str" cm="1">
        <f t="array" aca="1" ref="G79" ca="1">IF(Tabela1[[#This Row],[N°]]=D78,time_sum(Tabela1[[#This Row],[TEMPO]],E78),Tabela1[[#This Row],[TEMPO]])</f>
        <v>00:40:00:000</v>
      </c>
      <c r="H79" s="1" t="e">
        <f>VLOOKUP(C79,LARGADA!A:B,2,FALSE)</f>
        <v>#N/A</v>
      </c>
      <c r="I79" s="1" t="e">
        <f>VLOOKUP(C79,CHEGADA!A:B,2,FALSE)</f>
        <v>#N/A</v>
      </c>
    </row>
    <row r="80" spans="4:9">
      <c r="D80" s="2" t="str">
        <f>IFERROR(LEFT(Tabela1[[#This Row],[N°S]],LEN(Tabela1[[#This Row],[N°S]])-1),"")</f>
        <v/>
      </c>
      <c r="E80" s="1" t="str" cm="1">
        <f t="array" ref="E80">IFERROR(time_diff_cor(Tabela1[[#This Row],[Largada]],Tabela1[[#This Row],[Chegada]]),"00:20:00:000")</f>
        <v>00:20:00:000</v>
      </c>
      <c r="F80" s="1" t="str" cm="1">
        <f t="array" ref="F80">IFERROR(time_diff(Tabela1[[#This Row],[TEMPO]],E79),"00:00:00:000")</f>
        <v>00:00:00:00</v>
      </c>
      <c r="G80" s="1" t="str" cm="1">
        <f t="array" aca="1" ref="G80" ca="1">IF(Tabela1[[#This Row],[N°]]=D79,time_sum(Tabela1[[#This Row],[TEMPO]],E79),Tabela1[[#This Row],[TEMPO]])</f>
        <v>00:40:00:000</v>
      </c>
      <c r="H80" s="1" t="e">
        <f>VLOOKUP(C80,LARGADA!A:B,2,FALSE)</f>
        <v>#N/A</v>
      </c>
      <c r="I80" s="1" t="e">
        <f>VLOOKUP(C80,CHEGADA!A:B,2,FALSE)</f>
        <v>#N/A</v>
      </c>
    </row>
    <row r="81" spans="4:9">
      <c r="D81" s="2" t="str">
        <f>IFERROR(LEFT(Tabela1[[#This Row],[N°S]],LEN(Tabela1[[#This Row],[N°S]])-1),"")</f>
        <v/>
      </c>
      <c r="E81" s="1" t="str" cm="1">
        <f t="array" ref="E81">IFERROR(time_diff_cor(Tabela1[[#This Row],[Largada]],Tabela1[[#This Row],[Chegada]]),"00:20:00:000")</f>
        <v>00:20:00:000</v>
      </c>
      <c r="F81" s="1" t="str" cm="1">
        <f t="array" ref="F81">IFERROR(time_diff(Tabela1[[#This Row],[TEMPO]],E80),"00:00:00:000")</f>
        <v>00:00:00:00</v>
      </c>
      <c r="G81" s="1" t="str" cm="1">
        <f t="array" aca="1" ref="G81" ca="1">IF(Tabela1[[#This Row],[N°]]=D80,time_sum(Tabela1[[#This Row],[TEMPO]],E80),Tabela1[[#This Row],[TEMPO]])</f>
        <v>00:40:00:000</v>
      </c>
      <c r="H81" s="1" t="e">
        <f>VLOOKUP(C81,LARGADA!A:B,2,FALSE)</f>
        <v>#N/A</v>
      </c>
      <c r="I81" s="1" t="e">
        <f>VLOOKUP(C81,CHEGADA!A:B,2,FALSE)</f>
        <v>#N/A</v>
      </c>
    </row>
    <row r="82" spans="4:9">
      <c r="D82" s="2" t="str">
        <f>IFERROR(LEFT(Tabela1[[#This Row],[N°S]],LEN(Tabela1[[#This Row],[N°S]])-1),"")</f>
        <v/>
      </c>
      <c r="E82" s="1" t="str" cm="1">
        <f t="array" ref="E82">IFERROR(time_diff_cor(Tabela1[[#This Row],[Largada]],Tabela1[[#This Row],[Chegada]]),"00:20:00:000")</f>
        <v>00:20:00:000</v>
      </c>
      <c r="F82" s="1" t="str" cm="1">
        <f t="array" ref="F82">IFERROR(time_diff(Tabela1[[#This Row],[TEMPO]],E81),"00:00:00:000")</f>
        <v>00:00:00:00</v>
      </c>
      <c r="G82" s="1" t="str" cm="1">
        <f t="array" aca="1" ref="G82" ca="1">IF(Tabela1[[#This Row],[N°]]=D81,time_sum(Tabela1[[#This Row],[TEMPO]],E81),Tabela1[[#This Row],[TEMPO]])</f>
        <v>00:40:00:000</v>
      </c>
      <c r="H82" s="1" t="e">
        <f>VLOOKUP(C82,LARGADA!A:B,2,FALSE)</f>
        <v>#N/A</v>
      </c>
      <c r="I82" s="1" t="e">
        <f>VLOOKUP(C82,CHEGADA!A:B,2,FALSE)</f>
        <v>#N/A</v>
      </c>
    </row>
    <row r="83" spans="4:9">
      <c r="D83" s="2" t="str">
        <f>IFERROR(LEFT(Tabela1[[#This Row],[N°S]],LEN(Tabela1[[#This Row],[N°S]])-1),"")</f>
        <v/>
      </c>
      <c r="E83" s="1" t="str" cm="1">
        <f t="array" ref="E83">IFERROR(time_diff_cor(Tabela1[[#This Row],[Largada]],Tabela1[[#This Row],[Chegada]]),"00:20:00:000")</f>
        <v>00:20:00:000</v>
      </c>
      <c r="F83" s="1" t="str" cm="1">
        <f t="array" ref="F83">IFERROR(time_diff(Tabela1[[#This Row],[TEMPO]],E82),"00:00:00:000")</f>
        <v>00:00:00:00</v>
      </c>
      <c r="G83" s="1" t="str" cm="1">
        <f t="array" aca="1" ref="G83" ca="1">IF(Tabela1[[#This Row],[N°]]=D82,time_sum(Tabela1[[#This Row],[TEMPO]],E82),Tabela1[[#This Row],[TEMPO]])</f>
        <v>00:40:00:000</v>
      </c>
      <c r="H83" s="1" t="e">
        <f>VLOOKUP(C83,LARGADA!A:B,2,FALSE)</f>
        <v>#N/A</v>
      </c>
      <c r="I83" s="1" t="e">
        <f>VLOOKUP(C83,CHEGADA!A:B,2,FALSE)</f>
        <v>#N/A</v>
      </c>
    </row>
    <row r="84" spans="4:9">
      <c r="D84" s="2" t="str">
        <f>IFERROR(LEFT(Tabela1[[#This Row],[N°S]],LEN(Tabela1[[#This Row],[N°S]])-1),"")</f>
        <v/>
      </c>
      <c r="E84" s="1" t="str" cm="1">
        <f t="array" ref="E84">IFERROR(time_diff_cor(Tabela1[[#This Row],[Largada]],Tabela1[[#This Row],[Chegada]]),"00:20:00:000")</f>
        <v>00:20:00:000</v>
      </c>
      <c r="F84" s="1" t="str" cm="1">
        <f t="array" ref="F84">IFERROR(time_diff(Tabela1[[#This Row],[TEMPO]],E83),"00:00:00:000")</f>
        <v>00:00:00:00</v>
      </c>
      <c r="G84" s="1" t="str" cm="1">
        <f t="array" aca="1" ref="G84" ca="1">IF(Tabela1[[#This Row],[N°]]=D83,time_sum(Tabela1[[#This Row],[TEMPO]],E83),Tabela1[[#This Row],[TEMPO]])</f>
        <v>00:40:00:000</v>
      </c>
      <c r="H84" s="1" t="e">
        <f>VLOOKUP(C84,LARGADA!A:B,2,FALSE)</f>
        <v>#N/A</v>
      </c>
      <c r="I84" s="1" t="e">
        <f>VLOOKUP(C84,CHEGADA!A:B,2,FALSE)</f>
        <v>#N/A</v>
      </c>
    </row>
    <row r="85" spans="4:9">
      <c r="D85" s="2" t="str">
        <f>IFERROR(LEFT(Tabela1[[#This Row],[N°S]],LEN(Tabela1[[#This Row],[N°S]])-1),"")</f>
        <v/>
      </c>
      <c r="E85" s="1" t="str" cm="1">
        <f t="array" ref="E85">IFERROR(time_diff_cor(Tabela1[[#This Row],[Largada]],Tabela1[[#This Row],[Chegada]]),"00:20:00:000")</f>
        <v>00:20:00:000</v>
      </c>
      <c r="F85" s="1" t="str" cm="1">
        <f t="array" ref="F85">IFERROR(time_diff(Tabela1[[#This Row],[TEMPO]],E84),"00:00:00:000")</f>
        <v>00:00:00:00</v>
      </c>
      <c r="G85" s="1" t="str" cm="1">
        <f t="array" aca="1" ref="G85" ca="1">IF(Tabela1[[#This Row],[N°]]=D84,time_sum(Tabela1[[#This Row],[TEMPO]],E84),Tabela1[[#This Row],[TEMPO]])</f>
        <v>00:40:00:000</v>
      </c>
      <c r="H85" s="1" t="e">
        <f>VLOOKUP(C85,LARGADA!A:B,2,FALSE)</f>
        <v>#N/A</v>
      </c>
      <c r="I85" s="1" t="e">
        <f>VLOOKUP(C85,CHEGADA!A:B,2,FALSE)</f>
        <v>#N/A</v>
      </c>
    </row>
    <row r="86" spans="4:9">
      <c r="D86" s="2" t="str">
        <f>IFERROR(LEFT(Tabela1[[#This Row],[N°S]],LEN(Tabela1[[#This Row],[N°S]])-1),"")</f>
        <v/>
      </c>
      <c r="E86" s="1" t="str" cm="1">
        <f t="array" ref="E86">IFERROR(time_diff_cor(Tabela1[[#This Row],[Largada]],Tabela1[[#This Row],[Chegada]]),"00:20:00:000")</f>
        <v>00:20:00:000</v>
      </c>
      <c r="F86" s="1" t="str" cm="1">
        <f t="array" ref="F86">IFERROR(time_diff(Tabela1[[#This Row],[TEMPO]],E85),"00:00:00:000")</f>
        <v>00:00:00:00</v>
      </c>
      <c r="G86" s="1" t="str" cm="1">
        <f t="array" aca="1" ref="G86" ca="1">IF(Tabela1[[#This Row],[N°]]=D85,time_sum(Tabela1[[#This Row],[TEMPO]],E85),Tabela1[[#This Row],[TEMPO]])</f>
        <v>00:40:00:000</v>
      </c>
      <c r="H86" s="1" t="e">
        <f>VLOOKUP(C86,LARGADA!A:B,2,FALSE)</f>
        <v>#N/A</v>
      </c>
      <c r="I86" s="1" t="e">
        <f>VLOOKUP(C86,CHEGADA!A:B,2,FALSE)</f>
        <v>#N/A</v>
      </c>
    </row>
    <row r="87" spans="4:9">
      <c r="D87" s="2" t="str">
        <f>IFERROR(LEFT(Tabela1[[#This Row],[N°S]],LEN(Tabela1[[#This Row],[N°S]])-1),"")</f>
        <v/>
      </c>
      <c r="E87" s="1" t="str" cm="1">
        <f t="array" ref="E87">IFERROR(time_diff_cor(Tabela1[[#This Row],[Largada]],Tabela1[[#This Row],[Chegada]]),"00:20:00:000")</f>
        <v>00:20:00:000</v>
      </c>
      <c r="F87" s="1" t="str" cm="1">
        <f t="array" ref="F87">IFERROR(time_diff(Tabela1[[#This Row],[TEMPO]],E86),"00:00:00:000")</f>
        <v>00:00:00:00</v>
      </c>
      <c r="G87" s="1" t="str" cm="1">
        <f t="array" aca="1" ref="G87" ca="1">IF(Tabela1[[#This Row],[N°]]=D86,time_sum(Tabela1[[#This Row],[TEMPO]],E86),Tabela1[[#This Row],[TEMPO]])</f>
        <v>00:40:00:000</v>
      </c>
      <c r="H87" s="1" t="e">
        <f>VLOOKUP(C87,LARGADA!A:B,2,FALSE)</f>
        <v>#N/A</v>
      </c>
      <c r="I87" s="1" t="e">
        <f>VLOOKUP(C87,CHEGADA!A:B,2,FALSE)</f>
        <v>#N/A</v>
      </c>
    </row>
    <row r="88" spans="4:9">
      <c r="D88" s="2" t="str">
        <f>IFERROR(LEFT(Tabela1[[#This Row],[N°S]],LEN(Tabela1[[#This Row],[N°S]])-1),"")</f>
        <v/>
      </c>
      <c r="E88" s="1" t="str" cm="1">
        <f t="array" ref="E88">IFERROR(time_diff_cor(Tabela1[[#This Row],[Largada]],Tabela1[[#This Row],[Chegada]]),"00:20:00:000")</f>
        <v>00:20:00:000</v>
      </c>
      <c r="F88" s="1" t="str" cm="1">
        <f t="array" ref="F88">IFERROR(time_diff(Tabela1[[#This Row],[TEMPO]],E87),"00:00:00:000")</f>
        <v>00:00:00:00</v>
      </c>
      <c r="G88" s="1" t="str" cm="1">
        <f t="array" aca="1" ref="G88" ca="1">IF(Tabela1[[#This Row],[N°]]=D87,time_sum(Tabela1[[#This Row],[TEMPO]],E87),Tabela1[[#This Row],[TEMPO]])</f>
        <v>00:40:00:000</v>
      </c>
      <c r="H88" s="1" t="e">
        <f>VLOOKUP(C88,LARGADA!A:B,2,FALSE)</f>
        <v>#N/A</v>
      </c>
      <c r="I88" s="1" t="e">
        <f>VLOOKUP(C88,CHEGADA!A:B,2,FALSE)</f>
        <v>#N/A</v>
      </c>
    </row>
    <row r="89" spans="4:9">
      <c r="D89" s="2" t="str">
        <f>IFERROR(LEFT(Tabela1[[#This Row],[N°S]],LEN(Tabela1[[#This Row],[N°S]])-1),"")</f>
        <v/>
      </c>
      <c r="E89" s="1" t="str" cm="1">
        <f t="array" ref="E89">IFERROR(time_diff_cor(Tabela1[[#This Row],[Largada]],Tabela1[[#This Row],[Chegada]]),"00:20:00:000")</f>
        <v>00:20:00:000</v>
      </c>
      <c r="F89" s="1" t="str" cm="1">
        <f t="array" ref="F89">IFERROR(time_diff(Tabela1[[#This Row],[TEMPO]],E88),"00:00:00:000")</f>
        <v>00:00:00:00</v>
      </c>
      <c r="G89" s="1" t="str" cm="1">
        <f t="array" aca="1" ref="G89" ca="1">IF(Tabela1[[#This Row],[N°]]=D88,time_sum(Tabela1[[#This Row],[TEMPO]],E88),Tabela1[[#This Row],[TEMPO]])</f>
        <v>00:40:00:000</v>
      </c>
      <c r="H89" s="1" t="e">
        <f>VLOOKUP(C89,LARGADA!A:B,2,FALSE)</f>
        <v>#N/A</v>
      </c>
      <c r="I89" s="1" t="e">
        <f>VLOOKUP(C89,CHEGADA!A:B,2,FALSE)</f>
        <v>#N/A</v>
      </c>
    </row>
    <row r="90" spans="4:9">
      <c r="D90" s="2" t="str">
        <f>IFERROR(LEFT(Tabela1[[#This Row],[N°S]],LEN(Tabela1[[#This Row],[N°S]])-1),"")</f>
        <v/>
      </c>
      <c r="E90" s="1" t="str" cm="1">
        <f t="array" ref="E90">IFERROR(time_diff_cor(Tabela1[[#This Row],[Largada]],Tabela1[[#This Row],[Chegada]]),"00:20:00:000")</f>
        <v>00:20:00:000</v>
      </c>
      <c r="F90" s="1" t="str" cm="1">
        <f t="array" ref="F90">IFERROR(time_diff(Tabela1[[#This Row],[TEMPO]],E89),"00:00:00:000")</f>
        <v>00:00:00:00</v>
      </c>
      <c r="G90" s="1" t="str" cm="1">
        <f t="array" aca="1" ref="G90" ca="1">IF(Tabela1[[#This Row],[N°]]=D89,time_sum(Tabela1[[#This Row],[TEMPO]],E89),Tabela1[[#This Row],[TEMPO]])</f>
        <v>00:40:00:000</v>
      </c>
      <c r="H90" s="1" t="e">
        <f>VLOOKUP(C90,LARGADA!A:B,2,FALSE)</f>
        <v>#N/A</v>
      </c>
      <c r="I90" s="1" t="e">
        <f>VLOOKUP(C90,CHEGADA!A:B,2,FALSE)</f>
        <v>#N/A</v>
      </c>
    </row>
    <row r="91" spans="4:9">
      <c r="D91" s="2" t="str">
        <f>IFERROR(LEFT(Tabela1[[#This Row],[N°S]],LEN(Tabela1[[#This Row],[N°S]])-1),"")</f>
        <v/>
      </c>
      <c r="E91" s="1" t="str" cm="1">
        <f t="array" ref="E91">IFERROR(time_diff_cor(Tabela1[[#This Row],[Largada]],Tabela1[[#This Row],[Chegada]]),"00:20:00:000")</f>
        <v>00:20:00:000</v>
      </c>
      <c r="F91" s="1" t="str" cm="1">
        <f t="array" ref="F91">IFERROR(time_diff(Tabela1[[#This Row],[TEMPO]],E90),"00:00:00:000")</f>
        <v>00:00:00:00</v>
      </c>
      <c r="G91" s="1" t="str" cm="1">
        <f t="array" aca="1" ref="G91" ca="1">IF(Tabela1[[#This Row],[N°]]=D90,time_sum(Tabela1[[#This Row],[TEMPO]],E90),Tabela1[[#This Row],[TEMPO]])</f>
        <v>00:40:00:000</v>
      </c>
      <c r="H91" s="1" t="e">
        <f>VLOOKUP(C91,LARGADA!A:B,2,FALSE)</f>
        <v>#N/A</v>
      </c>
      <c r="I91" s="1" t="e">
        <f>VLOOKUP(C91,CHEGADA!A:B,2,FALSE)</f>
        <v>#N/A</v>
      </c>
    </row>
    <row r="92" spans="4:9">
      <c r="D92" s="2" t="str">
        <f>IFERROR(LEFT(Tabela1[[#This Row],[N°S]],LEN(Tabela1[[#This Row],[N°S]])-1),"")</f>
        <v/>
      </c>
      <c r="E92" s="1" t="str" cm="1">
        <f t="array" ref="E92">IFERROR(time_diff_cor(Tabela1[[#This Row],[Largada]],Tabela1[[#This Row],[Chegada]]),"00:20:00:000")</f>
        <v>00:20:00:000</v>
      </c>
      <c r="F92" s="1" t="str" cm="1">
        <f t="array" ref="F92">IFERROR(time_diff(Tabela1[[#This Row],[TEMPO]],E91),"00:00:00:000")</f>
        <v>00:00:00:00</v>
      </c>
      <c r="G92" s="1" t="str" cm="1">
        <f t="array" aca="1" ref="G92" ca="1">IF(Tabela1[[#This Row],[N°]]=D91,time_sum(Tabela1[[#This Row],[TEMPO]],E91),Tabela1[[#This Row],[TEMPO]])</f>
        <v>00:40:00:000</v>
      </c>
      <c r="H92" s="1" t="e">
        <f>VLOOKUP(C92,LARGADA!A:B,2,FALSE)</f>
        <v>#N/A</v>
      </c>
      <c r="I92" s="1" t="e">
        <f>VLOOKUP(C92,CHEGADA!A:B,2,FALSE)</f>
        <v>#N/A</v>
      </c>
    </row>
    <row r="93" spans="4:9">
      <c r="D93" s="2" t="str">
        <f>IFERROR(LEFT(Tabela1[[#This Row],[N°S]],LEN(Tabela1[[#This Row],[N°S]])-1),"")</f>
        <v/>
      </c>
      <c r="E93" s="1" t="str" cm="1">
        <f t="array" ref="E93">IFERROR(time_diff_cor(Tabela1[[#This Row],[Largada]],Tabela1[[#This Row],[Chegada]]),"00:20:00:000")</f>
        <v>00:20:00:000</v>
      </c>
      <c r="F93" s="1" t="str" cm="1">
        <f t="array" ref="F93">IFERROR(time_diff(Tabela1[[#This Row],[TEMPO]],E92),"00:00:00:000")</f>
        <v>00:00:00:00</v>
      </c>
      <c r="G93" s="1" t="str" cm="1">
        <f t="array" aca="1" ref="G93" ca="1">IF(Tabela1[[#This Row],[N°]]=D92,time_sum(Tabela1[[#This Row],[TEMPO]],E92),Tabela1[[#This Row],[TEMPO]])</f>
        <v>00:40:00:000</v>
      </c>
      <c r="H93" s="1" t="e">
        <f>VLOOKUP(C93,LARGADA!A:B,2,FALSE)</f>
        <v>#N/A</v>
      </c>
      <c r="I93" s="1" t="e">
        <f>VLOOKUP(C93,CHEGADA!A:B,2,FALSE)</f>
        <v>#N/A</v>
      </c>
    </row>
    <row r="94" spans="4:9">
      <c r="D94" s="2" t="str">
        <f>IFERROR(LEFT(Tabela1[[#This Row],[N°S]],LEN(Tabela1[[#This Row],[N°S]])-1),"")</f>
        <v/>
      </c>
      <c r="E94" s="1" t="str" cm="1">
        <f t="array" ref="E94">IFERROR(time_diff_cor(Tabela1[[#This Row],[Largada]],Tabela1[[#This Row],[Chegada]]),"00:20:00:000")</f>
        <v>00:20:00:000</v>
      </c>
      <c r="F94" s="1" t="str" cm="1">
        <f t="array" ref="F94">IFERROR(time_diff(Tabela1[[#This Row],[TEMPO]],E93),"00:00:00:000")</f>
        <v>00:00:00:00</v>
      </c>
      <c r="G94" s="1" t="str" cm="1">
        <f t="array" aca="1" ref="G94" ca="1">IF(Tabela1[[#This Row],[N°]]=D93,time_sum(Tabela1[[#This Row],[TEMPO]],E93),Tabela1[[#This Row],[TEMPO]])</f>
        <v>00:40:00:000</v>
      </c>
      <c r="H94" s="1" t="e">
        <f>VLOOKUP(C94,LARGADA!A:B,2,FALSE)</f>
        <v>#N/A</v>
      </c>
      <c r="I94" s="1" t="e">
        <f>VLOOKUP(C94,CHEGADA!A:B,2,FALSE)</f>
        <v>#N/A</v>
      </c>
    </row>
    <row r="95" spans="4:9">
      <c r="D95" s="2" t="str">
        <f>IFERROR(LEFT(Tabela1[[#This Row],[N°S]],LEN(Tabela1[[#This Row],[N°S]])-1),"")</f>
        <v/>
      </c>
      <c r="E95" s="1" t="str" cm="1">
        <f t="array" ref="E95">IFERROR(time_diff_cor(Tabela1[[#This Row],[Largada]],Tabela1[[#This Row],[Chegada]]),"00:20:00:000")</f>
        <v>00:20:00:000</v>
      </c>
      <c r="F95" s="1" t="str" cm="1">
        <f t="array" ref="F95">IFERROR(time_diff(Tabela1[[#This Row],[TEMPO]],E94),"00:00:00:000")</f>
        <v>00:00:00:00</v>
      </c>
      <c r="G95" s="1" t="str" cm="1">
        <f t="array" aca="1" ref="G95" ca="1">IF(Tabela1[[#This Row],[N°]]=D94,time_sum(Tabela1[[#This Row],[TEMPO]],E94),Tabela1[[#This Row],[TEMPO]])</f>
        <v>00:40:00:000</v>
      </c>
      <c r="H95" s="1" t="e">
        <f>VLOOKUP(C95,LARGADA!A:B,2,FALSE)</f>
        <v>#N/A</v>
      </c>
      <c r="I95" s="1" t="e">
        <f>VLOOKUP(C95,CHEGADA!A:B,2,FALSE)</f>
        <v>#N/A</v>
      </c>
    </row>
    <row r="96" spans="4:9">
      <c r="D96" s="2" t="str">
        <f>IFERROR(LEFT(Tabela1[[#This Row],[N°S]],LEN(Tabela1[[#This Row],[N°S]])-1),"")</f>
        <v/>
      </c>
      <c r="E96" s="1" t="str" cm="1">
        <f t="array" ref="E96">IFERROR(time_diff_cor(Tabela1[[#This Row],[Largada]],Tabela1[[#This Row],[Chegada]]),"00:20:00:000")</f>
        <v>00:20:00:000</v>
      </c>
      <c r="F96" s="1" t="str" cm="1">
        <f t="array" ref="F96">IFERROR(time_diff(Tabela1[[#This Row],[TEMPO]],E95),"00:00:00:000")</f>
        <v>00:00:00:00</v>
      </c>
      <c r="G96" s="1" t="str" cm="1">
        <f t="array" aca="1" ref="G96" ca="1">IF(Tabela1[[#This Row],[N°]]=D95,time_sum(Tabela1[[#This Row],[TEMPO]],E95),Tabela1[[#This Row],[TEMPO]])</f>
        <v>00:40:00:000</v>
      </c>
      <c r="H96" s="1" t="e">
        <f>VLOOKUP(C96,LARGADA!A:B,2,FALSE)</f>
        <v>#N/A</v>
      </c>
      <c r="I96" s="1" t="e">
        <f>VLOOKUP(C96,CHEGADA!A:B,2,FALSE)</f>
        <v>#N/A</v>
      </c>
    </row>
    <row r="97" spans="4:9">
      <c r="D97" s="2" t="str">
        <f>IFERROR(LEFT(Tabela1[[#This Row],[N°S]],LEN(Tabela1[[#This Row],[N°S]])-1),"")</f>
        <v/>
      </c>
      <c r="E97" s="1" t="str" cm="1">
        <f t="array" ref="E97">IFERROR(time_diff_cor(Tabela1[[#This Row],[Largada]],Tabela1[[#This Row],[Chegada]]),"00:20:00:000")</f>
        <v>00:20:00:000</v>
      </c>
      <c r="F97" s="1" t="str" cm="1">
        <f t="array" ref="F97">IFERROR(time_diff(Tabela1[[#This Row],[TEMPO]],E96),"00:00:00:000")</f>
        <v>00:00:00:00</v>
      </c>
      <c r="G97" s="1" t="str" cm="1">
        <f t="array" aca="1" ref="G97" ca="1">IF(Tabela1[[#This Row],[N°]]=D96,time_sum(Tabela1[[#This Row],[TEMPO]],E96),Tabela1[[#This Row],[TEMPO]])</f>
        <v>00:40:00:000</v>
      </c>
      <c r="H97" s="1" t="e">
        <f>VLOOKUP(C97,LARGADA!A:B,2,FALSE)</f>
        <v>#N/A</v>
      </c>
      <c r="I97" s="1" t="e">
        <f>VLOOKUP(C97,CHEGADA!A:B,2,FALSE)</f>
        <v>#N/A</v>
      </c>
    </row>
    <row r="98" spans="4:9">
      <c r="D98" s="2" t="str">
        <f>IFERROR(LEFT(Tabela1[[#This Row],[N°S]],LEN(Tabela1[[#This Row],[N°S]])-1),"")</f>
        <v/>
      </c>
      <c r="E98" s="1" t="str" cm="1">
        <f t="array" ref="E98">IFERROR(time_diff_cor(Tabela1[[#This Row],[Largada]],Tabela1[[#This Row],[Chegada]]),"00:20:00:000")</f>
        <v>00:20:00:000</v>
      </c>
      <c r="F98" s="1" t="str" cm="1">
        <f t="array" ref="F98">IFERROR(time_diff(Tabela1[[#This Row],[TEMPO]],E97),"00:00:00:000")</f>
        <v>00:00:00:00</v>
      </c>
      <c r="G98" s="1" t="str" cm="1">
        <f t="array" aca="1" ref="G98" ca="1">IF(Tabela1[[#This Row],[N°]]=D97,time_sum(Tabela1[[#This Row],[TEMPO]],E97),Tabela1[[#This Row],[TEMPO]])</f>
        <v>00:40:00:000</v>
      </c>
      <c r="H98" s="1" t="e">
        <f>VLOOKUP(C98,LARGADA!A:B,2,FALSE)</f>
        <v>#N/A</v>
      </c>
      <c r="I98" s="1" t="e">
        <f>VLOOKUP(C98,CHEGADA!A:B,2,FALSE)</f>
        <v>#N/A</v>
      </c>
    </row>
    <row r="99" spans="4:9">
      <c r="D99" s="2" t="str">
        <f>IFERROR(LEFT(Tabela1[[#This Row],[N°S]],LEN(Tabela1[[#This Row],[N°S]])-1),"")</f>
        <v/>
      </c>
      <c r="E99" s="1" t="str" cm="1">
        <f t="array" ref="E99">IFERROR(time_diff_cor(Tabela1[[#This Row],[Largada]],Tabela1[[#This Row],[Chegada]]),"00:20:00:000")</f>
        <v>00:20:00:000</v>
      </c>
      <c r="F99" s="1" t="str" cm="1">
        <f t="array" ref="F99">IFERROR(time_diff(Tabela1[[#This Row],[TEMPO]],E98),"00:00:00:000")</f>
        <v>00:00:00:00</v>
      </c>
      <c r="G99" s="1" t="str" cm="1">
        <f t="array" aca="1" ref="G99" ca="1">IF(Tabela1[[#This Row],[N°]]=D98,time_sum(Tabela1[[#This Row],[TEMPO]],E98),Tabela1[[#This Row],[TEMPO]])</f>
        <v>00:40:00:000</v>
      </c>
      <c r="H99" s="1" t="e">
        <f>VLOOKUP(C99,LARGADA!A:B,2,FALSE)</f>
        <v>#N/A</v>
      </c>
      <c r="I99" s="1" t="e">
        <f>VLOOKUP(C99,CHEGADA!A:B,2,FALSE)</f>
        <v>#N/A</v>
      </c>
    </row>
    <row r="100" spans="4:9">
      <c r="D100" s="2" t="str">
        <f>IFERROR(LEFT(Tabela1[[#This Row],[N°S]],LEN(Tabela1[[#This Row],[N°S]])-1),"")</f>
        <v/>
      </c>
      <c r="E100" s="1" t="str" cm="1">
        <f t="array" ref="E100">IFERROR(time_diff_cor(Tabela1[[#This Row],[Largada]],Tabela1[[#This Row],[Chegada]]),"00:20:00:000")</f>
        <v>00:20:00:000</v>
      </c>
      <c r="F100" s="1" t="str" cm="1">
        <f t="array" ref="F100">IFERROR(time_diff(Tabela1[[#This Row],[TEMPO]],E99),"00:00:00:000")</f>
        <v>00:00:00:00</v>
      </c>
      <c r="G100" s="1" t="str" cm="1">
        <f t="array" aca="1" ref="G100" ca="1">IF(Tabela1[[#This Row],[N°]]=D99,time_sum(Tabela1[[#This Row],[TEMPO]],E99),Tabela1[[#This Row],[TEMPO]])</f>
        <v>00:40:00:000</v>
      </c>
      <c r="H100" s="1" t="e">
        <f>VLOOKUP(C100,LARGADA!A:B,2,FALSE)</f>
        <v>#N/A</v>
      </c>
      <c r="I100" s="1" t="e">
        <f>VLOOKUP(C100,CHEGADA!A:B,2,FALSE)</f>
        <v>#N/A</v>
      </c>
    </row>
    <row r="101" spans="4:9">
      <c r="D101" s="2" t="str">
        <f>IFERROR(LEFT(Tabela1[[#This Row],[N°S]],LEN(Tabela1[[#This Row],[N°S]])-1),"")</f>
        <v/>
      </c>
      <c r="E101" s="1" t="str" cm="1">
        <f t="array" ref="E101">IFERROR(time_diff_cor(Tabela1[[#This Row],[Largada]],Tabela1[[#This Row],[Chegada]]),"00:20:00:000")</f>
        <v>00:20:00:000</v>
      </c>
      <c r="F101" s="1" t="str" cm="1">
        <f t="array" ref="F101">IFERROR(time_diff(Tabela1[[#This Row],[TEMPO]],E100),"00:00:00:000")</f>
        <v>00:00:00:00</v>
      </c>
      <c r="G101" s="1" t="str" cm="1">
        <f t="array" aca="1" ref="G101" ca="1">IF(Tabela1[[#This Row],[N°]]=D100,time_sum(Tabela1[[#This Row],[TEMPO]],E100),Tabela1[[#This Row],[TEMPO]])</f>
        <v>00:40:00:000</v>
      </c>
      <c r="H101" s="1" t="e">
        <f>VLOOKUP(C101,LARGADA!A:B,2,FALSE)</f>
        <v>#N/A</v>
      </c>
      <c r="I101" s="1" t="e">
        <f>VLOOKUP(C101,CHEGADA!A:B,2,FALSE)</f>
        <v>#N/A</v>
      </c>
    </row>
    <row r="102" spans="4:9">
      <c r="D102" s="2" t="str">
        <f>IFERROR(LEFT(Tabela1[[#This Row],[N°S]],LEN(Tabela1[[#This Row],[N°S]])-1),"")</f>
        <v/>
      </c>
      <c r="E102" s="1" t="str" cm="1">
        <f t="array" ref="E102">IFERROR(time_diff_cor(Tabela1[[#This Row],[Largada]],Tabela1[[#This Row],[Chegada]]),"00:20:00:000")</f>
        <v>00:20:00:000</v>
      </c>
      <c r="F102" s="1" t="str" cm="1">
        <f t="array" ref="F102">IFERROR(time_diff(Tabela1[[#This Row],[TEMPO]],E101),"00:00:00:000")</f>
        <v>00:00:00:00</v>
      </c>
      <c r="G102" s="1" t="str" cm="1">
        <f t="array" aca="1" ref="G102" ca="1">IF(Tabela1[[#This Row],[N°]]=D101,time_sum(Tabela1[[#This Row],[TEMPO]],E101),Tabela1[[#This Row],[TEMPO]])</f>
        <v>00:40:00:000</v>
      </c>
      <c r="H102" s="1" t="e">
        <f>VLOOKUP(C102,LARGADA!A:B,2,FALSE)</f>
        <v>#N/A</v>
      </c>
      <c r="I102" s="1" t="e">
        <f>VLOOKUP(C102,CHEGADA!A:B,2,FALSE)</f>
        <v>#N/A</v>
      </c>
    </row>
    <row r="103" spans="4:9">
      <c r="D103" s="2" t="str">
        <f>IFERROR(LEFT(Tabela1[[#This Row],[N°S]],LEN(Tabela1[[#This Row],[N°S]])-1),"")</f>
        <v/>
      </c>
      <c r="E103" s="1" t="str" cm="1">
        <f t="array" ref="E103">IFERROR(time_diff_cor(Tabela1[[#This Row],[Largada]],Tabela1[[#This Row],[Chegada]]),"00:20:00:000")</f>
        <v>00:20:00:000</v>
      </c>
      <c r="F103" s="1" t="str" cm="1">
        <f t="array" ref="F103">IFERROR(time_diff(Tabela1[[#This Row],[TEMPO]],E102),"00:00:00:000")</f>
        <v>00:00:00:00</v>
      </c>
      <c r="G103" s="1" t="str" cm="1">
        <f t="array" aca="1" ref="G103" ca="1">IF(Tabela1[[#This Row],[N°]]=D102,time_sum(Tabela1[[#This Row],[TEMPO]],E102),Tabela1[[#This Row],[TEMPO]])</f>
        <v>00:40:00:000</v>
      </c>
      <c r="H103" s="1" t="e">
        <f>VLOOKUP(C103,LARGADA!A:B,2,FALSE)</f>
        <v>#N/A</v>
      </c>
      <c r="I103" s="1" t="e">
        <f>VLOOKUP(C103,CHEGADA!A:B,2,FALSE)</f>
        <v>#N/A</v>
      </c>
    </row>
    <row r="104" spans="4:9">
      <c r="D104" s="2" t="str">
        <f>IFERROR(LEFT(Tabela1[[#This Row],[N°S]],LEN(Tabela1[[#This Row],[N°S]])-1),"")</f>
        <v/>
      </c>
      <c r="E104" s="1" t="str" cm="1">
        <f t="array" ref="E104">IFERROR(time_diff_cor(Tabela1[[#This Row],[Largada]],Tabela1[[#This Row],[Chegada]]),"00:20:00:000")</f>
        <v>00:20:00:000</v>
      </c>
      <c r="F104" s="1" t="str" cm="1">
        <f t="array" ref="F104">IFERROR(time_diff(Tabela1[[#This Row],[TEMPO]],E103),"00:00:00:000")</f>
        <v>00:00:00:00</v>
      </c>
      <c r="G104" s="1" t="str" cm="1">
        <f t="array" aca="1" ref="G104" ca="1">IF(Tabela1[[#This Row],[N°]]=D103,time_sum(Tabela1[[#This Row],[TEMPO]],E103),Tabela1[[#This Row],[TEMPO]])</f>
        <v>00:40:00:000</v>
      </c>
      <c r="H104" s="1" t="e">
        <f>VLOOKUP(C104,LARGADA!A:B,2,FALSE)</f>
        <v>#N/A</v>
      </c>
      <c r="I104" s="1" t="e">
        <f>VLOOKUP(C104,CHEGADA!A:B,2,FALSE)</f>
        <v>#N/A</v>
      </c>
    </row>
    <row r="105" spans="4:9">
      <c r="D105" s="2" t="str">
        <f>IFERROR(LEFT(Tabela1[[#This Row],[N°S]],LEN(Tabela1[[#This Row],[N°S]])-1),"")</f>
        <v/>
      </c>
      <c r="E105" s="1" t="str" cm="1">
        <f t="array" ref="E105">IFERROR(time_diff_cor(Tabela1[[#This Row],[Largada]],Tabela1[[#This Row],[Chegada]]),"00:20:00:000")</f>
        <v>00:20:00:000</v>
      </c>
      <c r="F105" s="1" t="str" cm="1">
        <f t="array" ref="F105">IFERROR(time_diff(Tabela1[[#This Row],[TEMPO]],E104),"00:00:00:000")</f>
        <v>00:00:00:00</v>
      </c>
      <c r="G105" s="1" t="str" cm="1">
        <f t="array" aca="1" ref="G105" ca="1">IF(Tabela1[[#This Row],[N°]]=D104,time_sum(Tabela1[[#This Row],[TEMPO]],E104),Tabela1[[#This Row],[TEMPO]])</f>
        <v>00:40:00:000</v>
      </c>
      <c r="H105" s="1" t="e">
        <f>VLOOKUP(C105,LARGADA!A:B,2,FALSE)</f>
        <v>#N/A</v>
      </c>
      <c r="I105" s="1" t="e">
        <f>VLOOKUP(C105,CHEGADA!A:B,2,FALSE)</f>
        <v>#N/A</v>
      </c>
    </row>
    <row r="106" spans="4:9">
      <c r="D106" s="2" t="str">
        <f>IFERROR(LEFT(Tabela1[[#This Row],[N°S]],LEN(Tabela1[[#This Row],[N°S]])-1),"")</f>
        <v/>
      </c>
      <c r="E106" s="1" t="str" cm="1">
        <f t="array" ref="E106">IFERROR(time_diff_cor(Tabela1[[#This Row],[Largada]],Tabela1[[#This Row],[Chegada]]),"00:20:00:000")</f>
        <v>00:20:00:000</v>
      </c>
      <c r="F106" s="1" t="str" cm="1">
        <f t="array" ref="F106">IFERROR(time_diff(Tabela1[[#This Row],[TEMPO]],E105),"00:00:00:000")</f>
        <v>00:00:00:00</v>
      </c>
      <c r="G106" s="1" t="str" cm="1">
        <f t="array" aca="1" ref="G106" ca="1">IF(Tabela1[[#This Row],[N°]]=D105,time_sum(Tabela1[[#This Row],[TEMPO]],E105),Tabela1[[#This Row],[TEMPO]])</f>
        <v>00:40:00:000</v>
      </c>
      <c r="H106" s="1" t="e">
        <f>VLOOKUP(C106,LARGADA!A:B,2,FALSE)</f>
        <v>#N/A</v>
      </c>
      <c r="I106" s="1" t="e">
        <f>VLOOKUP(C106,CHEGADA!A:B,2,FALSE)</f>
        <v>#N/A</v>
      </c>
    </row>
    <row r="107" spans="4:9">
      <c r="D107" s="2" t="str">
        <f>IFERROR(LEFT(Tabela1[[#This Row],[N°S]],LEN(Tabela1[[#This Row],[N°S]])-1),"")</f>
        <v/>
      </c>
      <c r="E107" s="1" t="str" cm="1">
        <f t="array" ref="E107">IFERROR(time_diff_cor(Tabela1[[#This Row],[Largada]],Tabela1[[#This Row],[Chegada]]),"00:20:00:000")</f>
        <v>00:20:00:000</v>
      </c>
      <c r="F107" s="1" t="str" cm="1">
        <f t="array" ref="F107">IFERROR(time_diff(Tabela1[[#This Row],[TEMPO]],E106),"00:00:00:000")</f>
        <v>00:00:00:00</v>
      </c>
      <c r="G107" s="1" t="str" cm="1">
        <f t="array" aca="1" ref="G107" ca="1">IF(Tabela1[[#This Row],[N°]]=D106,time_sum(Tabela1[[#This Row],[TEMPO]],E106),Tabela1[[#This Row],[TEMPO]])</f>
        <v>00:40:00:000</v>
      </c>
      <c r="H107" s="1" t="e">
        <f>VLOOKUP(C107,LARGADA!A:B,2,FALSE)</f>
        <v>#N/A</v>
      </c>
      <c r="I107" s="1" t="e">
        <f>VLOOKUP(C107,CHEGADA!A:B,2,FALSE)</f>
        <v>#N/A</v>
      </c>
    </row>
    <row r="108" spans="4:9">
      <c r="D108" s="2" t="str">
        <f>IFERROR(LEFT(Tabela1[[#This Row],[N°S]],LEN(Tabela1[[#This Row],[N°S]])-1),"")</f>
        <v/>
      </c>
      <c r="E108" s="1" t="str" cm="1">
        <f t="array" ref="E108">IFERROR(time_diff_cor(Tabela1[[#This Row],[Largada]],Tabela1[[#This Row],[Chegada]]),"00:20:00:000")</f>
        <v>00:20:00:000</v>
      </c>
      <c r="F108" s="1" t="str" cm="1">
        <f t="array" ref="F108">IFERROR(time_diff(Tabela1[[#This Row],[TEMPO]],E107),"00:00:00:000")</f>
        <v>00:00:00:00</v>
      </c>
      <c r="G108" s="1" t="str" cm="1">
        <f t="array" aca="1" ref="G108" ca="1">IF(Tabela1[[#This Row],[N°]]=D107,time_sum(Tabela1[[#This Row],[TEMPO]],E107),Tabela1[[#This Row],[TEMPO]])</f>
        <v>00:40:00:000</v>
      </c>
      <c r="H108" s="1" t="e">
        <f>VLOOKUP(C108,LARGADA!A:B,2,FALSE)</f>
        <v>#N/A</v>
      </c>
      <c r="I108" s="1" t="e">
        <f>VLOOKUP(C108,CHEGADA!A:B,2,FALSE)</f>
        <v>#N/A</v>
      </c>
    </row>
    <row r="109" spans="4:9">
      <c r="D109" s="2" t="str">
        <f>IFERROR(LEFT(Tabela1[[#This Row],[N°S]],LEN(Tabela1[[#This Row],[N°S]])-1),"")</f>
        <v/>
      </c>
      <c r="E109" s="1" t="str" cm="1">
        <f t="array" ref="E109">IFERROR(time_diff_cor(Tabela1[[#This Row],[Largada]],Tabela1[[#This Row],[Chegada]]),"00:20:00:000")</f>
        <v>00:20:00:000</v>
      </c>
      <c r="F109" s="1" t="str" cm="1">
        <f t="array" ref="F109">IFERROR(time_diff(Tabela1[[#This Row],[TEMPO]],E108),"00:00:00:000")</f>
        <v>00:00:00:00</v>
      </c>
      <c r="G109" s="1" t="str" cm="1">
        <f t="array" aca="1" ref="G109" ca="1">IF(Tabela1[[#This Row],[N°]]=D108,time_sum(Tabela1[[#This Row],[TEMPO]],E108),Tabela1[[#This Row],[TEMPO]])</f>
        <v>00:40:00:000</v>
      </c>
      <c r="H109" s="1" t="e">
        <f>VLOOKUP(C109,LARGADA!A:B,2,FALSE)</f>
        <v>#N/A</v>
      </c>
      <c r="I109" s="1" t="e">
        <f>VLOOKUP(C109,CHEGADA!A:B,2,FALSE)</f>
        <v>#N/A</v>
      </c>
    </row>
    <row r="110" spans="4:9">
      <c r="D110" s="2" t="str">
        <f>IFERROR(LEFT(Tabela1[[#This Row],[N°S]],LEN(Tabela1[[#This Row],[N°S]])-1),"")</f>
        <v/>
      </c>
      <c r="E110" s="1" t="str" cm="1">
        <f t="array" ref="E110">IFERROR(time_diff_cor(Tabela1[[#This Row],[Largada]],Tabela1[[#This Row],[Chegada]]),"00:20:00:000")</f>
        <v>00:20:00:000</v>
      </c>
      <c r="F110" s="1" t="str" cm="1">
        <f t="array" ref="F110">IFERROR(time_diff(Tabela1[[#This Row],[TEMPO]],E109),"00:00:00:000")</f>
        <v>00:00:00:00</v>
      </c>
      <c r="G110" s="1" t="str" cm="1">
        <f t="array" aca="1" ref="G110" ca="1">IF(Tabela1[[#This Row],[N°]]=D109,time_sum(Tabela1[[#This Row],[TEMPO]],E109),Tabela1[[#This Row],[TEMPO]])</f>
        <v>00:40:00:000</v>
      </c>
      <c r="H110" s="1" t="e">
        <f>VLOOKUP(C110,LARGADA!A:B,2,FALSE)</f>
        <v>#N/A</v>
      </c>
      <c r="I110" s="1" t="e">
        <f>VLOOKUP(C110,CHEGADA!A:B,2,FALSE)</f>
        <v>#N/A</v>
      </c>
    </row>
    <row r="111" spans="4:9">
      <c r="D111" s="2" t="str">
        <f>IFERROR(LEFT(Tabela1[[#This Row],[N°S]],LEN(Tabela1[[#This Row],[N°S]])-1),"")</f>
        <v/>
      </c>
      <c r="E111" s="1" t="str" cm="1">
        <f t="array" ref="E111">IFERROR(time_diff_cor(Tabela1[[#This Row],[Largada]],Tabela1[[#This Row],[Chegada]]),"00:20:00:000")</f>
        <v>00:20:00:000</v>
      </c>
      <c r="F111" s="1" t="str" cm="1">
        <f t="array" ref="F111">IFERROR(time_diff(Tabela1[[#This Row],[TEMPO]],E110),"00:00:00:000")</f>
        <v>00:00:00:00</v>
      </c>
      <c r="G111" s="1" t="str" cm="1">
        <f t="array" aca="1" ref="G111" ca="1">IF(Tabela1[[#This Row],[N°]]=D110,time_sum(Tabela1[[#This Row],[TEMPO]],E110),Tabela1[[#This Row],[TEMPO]])</f>
        <v>00:40:00:000</v>
      </c>
      <c r="H111" s="1" t="e">
        <f>VLOOKUP(C111,LARGADA!A:B,2,FALSE)</f>
        <v>#N/A</v>
      </c>
      <c r="I111" s="1" t="e">
        <f>VLOOKUP(C111,CHEGADA!A:B,2,FALSE)</f>
        <v>#N/A</v>
      </c>
    </row>
    <row r="112" spans="4:9">
      <c r="D112" s="2" t="str">
        <f>IFERROR(LEFT(Tabela1[[#This Row],[N°S]],LEN(Tabela1[[#This Row],[N°S]])-1),"")</f>
        <v/>
      </c>
      <c r="E112" s="1" t="str" cm="1">
        <f t="array" ref="E112">IFERROR(time_diff_cor(Tabela1[[#This Row],[Largada]],Tabela1[[#This Row],[Chegada]]),"00:20:00:000")</f>
        <v>00:20:00:000</v>
      </c>
      <c r="F112" s="1" t="str" cm="1">
        <f t="array" ref="F112">IFERROR(time_diff(Tabela1[[#This Row],[TEMPO]],E111),"00:00:00:000")</f>
        <v>00:00:00:00</v>
      </c>
      <c r="G112" s="1" t="str" cm="1">
        <f t="array" aca="1" ref="G112" ca="1">IF(Tabela1[[#This Row],[N°]]=D111,time_sum(Tabela1[[#This Row],[TEMPO]],E111),Tabela1[[#This Row],[TEMPO]])</f>
        <v>00:40:00:000</v>
      </c>
      <c r="H112" s="1" t="e">
        <f>VLOOKUP(C112,LARGADA!A:B,2,FALSE)</f>
        <v>#N/A</v>
      </c>
      <c r="I112" s="1" t="e">
        <f>VLOOKUP(C112,CHEGADA!A:B,2,FALSE)</f>
        <v>#N/A</v>
      </c>
    </row>
    <row r="113" spans="4:9">
      <c r="D113" s="2" t="str">
        <f>IFERROR(LEFT(Tabela1[[#This Row],[N°S]],LEN(Tabela1[[#This Row],[N°S]])-1),"")</f>
        <v/>
      </c>
      <c r="E113" s="1" t="str" cm="1">
        <f t="array" ref="E113">IFERROR(time_diff_cor(Tabela1[[#This Row],[Largada]],Tabela1[[#This Row],[Chegada]]),"00:20:00:000")</f>
        <v>00:20:00:000</v>
      </c>
      <c r="F113" s="1" t="str" cm="1">
        <f t="array" ref="F113">IFERROR(time_diff(Tabela1[[#This Row],[TEMPO]],E112),"00:00:00:000")</f>
        <v>00:00:00:00</v>
      </c>
      <c r="G113" s="1" t="str" cm="1">
        <f t="array" aca="1" ref="G113" ca="1">IF(Tabela1[[#This Row],[N°]]=D112,time_sum(Tabela1[[#This Row],[TEMPO]],E112),Tabela1[[#This Row],[TEMPO]])</f>
        <v>00:40:00:000</v>
      </c>
      <c r="H113" s="1" t="e">
        <f>VLOOKUP(C113,LARGADA!A:B,2,FALSE)</f>
        <v>#N/A</v>
      </c>
      <c r="I113" s="1" t="e">
        <f>VLOOKUP(C113,CHEGADA!A:B,2,FALSE)</f>
        <v>#N/A</v>
      </c>
    </row>
    <row r="114" spans="4:9">
      <c r="D114" s="2" t="str">
        <f>IFERROR(LEFT(Tabela1[[#This Row],[N°S]],LEN(Tabela1[[#This Row],[N°S]])-1),"")</f>
        <v/>
      </c>
      <c r="E114" s="1" t="str" cm="1">
        <f t="array" ref="E114">IFERROR(time_diff_cor(Tabela1[[#This Row],[Largada]],Tabela1[[#This Row],[Chegada]]),"00:20:00:000")</f>
        <v>00:20:00:000</v>
      </c>
      <c r="F114" s="1" t="str" cm="1">
        <f t="array" ref="F114">IFERROR(time_diff(Tabela1[[#This Row],[TEMPO]],E113),"00:00:00:000")</f>
        <v>00:00:00:00</v>
      </c>
      <c r="G114" s="1" t="str" cm="1">
        <f t="array" aca="1" ref="G114" ca="1">IF(Tabela1[[#This Row],[N°]]=D113,time_sum(Tabela1[[#This Row],[TEMPO]],E113),Tabela1[[#This Row],[TEMPO]])</f>
        <v>00:40:00:000</v>
      </c>
      <c r="H114" s="1" t="e">
        <f>VLOOKUP(C114,LARGADA!A:B,2,FALSE)</f>
        <v>#N/A</v>
      </c>
      <c r="I114" s="1" t="e">
        <f>VLOOKUP(C114,CHEGADA!A:B,2,FALSE)</f>
        <v>#N/A</v>
      </c>
    </row>
    <row r="115" spans="4:9">
      <c r="D115" s="2" t="str">
        <f>IFERROR(LEFT(Tabela1[[#This Row],[N°S]],LEN(Tabela1[[#This Row],[N°S]])-1),"")</f>
        <v/>
      </c>
      <c r="E115" s="1" t="str" cm="1">
        <f t="array" ref="E115">IFERROR(time_diff_cor(Tabela1[[#This Row],[Largada]],Tabela1[[#This Row],[Chegada]]),"00:20:00:000")</f>
        <v>00:20:00:000</v>
      </c>
      <c r="F115" s="1" t="str" cm="1">
        <f t="array" ref="F115">IFERROR(time_diff(Tabela1[[#This Row],[TEMPO]],E114),"00:00:00:000")</f>
        <v>00:00:00:00</v>
      </c>
      <c r="G115" s="1" t="str" cm="1">
        <f t="array" aca="1" ref="G115" ca="1">IF(Tabela1[[#This Row],[N°]]=D114,time_sum(Tabela1[[#This Row],[TEMPO]],E114),Tabela1[[#This Row],[TEMPO]])</f>
        <v>00:40:00:000</v>
      </c>
      <c r="H115" s="1" t="e">
        <f>VLOOKUP(C115,LARGADA!A:B,2,FALSE)</f>
        <v>#N/A</v>
      </c>
      <c r="I115" s="1" t="e">
        <f>VLOOKUP(C115,CHEGADA!A:B,2,FALSE)</f>
        <v>#N/A</v>
      </c>
    </row>
    <row r="116" spans="4:9">
      <c r="D116" s="2" t="str">
        <f>IFERROR(LEFT(Tabela1[[#This Row],[N°S]],LEN(Tabela1[[#This Row],[N°S]])-1),"")</f>
        <v/>
      </c>
      <c r="E116" s="1" t="str" cm="1">
        <f t="array" ref="E116">IFERROR(time_diff_cor(Tabela1[[#This Row],[Largada]],Tabela1[[#This Row],[Chegada]]),"00:20:00:000")</f>
        <v>00:20:00:000</v>
      </c>
      <c r="F116" s="1" t="str" cm="1">
        <f t="array" ref="F116">IFERROR(time_diff(Tabela1[[#This Row],[TEMPO]],E115),"00:00:00:000")</f>
        <v>00:00:00:00</v>
      </c>
      <c r="G116" s="1" t="str" cm="1">
        <f t="array" aca="1" ref="G116" ca="1">IF(Tabela1[[#This Row],[N°]]=D115,time_sum(Tabela1[[#This Row],[TEMPO]],E115),Tabela1[[#This Row],[TEMPO]])</f>
        <v>00:40:00:000</v>
      </c>
      <c r="H116" s="1" t="e">
        <f>VLOOKUP(C116,LARGADA!A:B,2,FALSE)</f>
        <v>#N/A</v>
      </c>
      <c r="I116" s="1" t="e">
        <f>VLOOKUP(C116,CHEGADA!A:B,2,FALSE)</f>
        <v>#N/A</v>
      </c>
    </row>
    <row r="117" spans="4:9">
      <c r="D117" s="2" t="str">
        <f>IFERROR(LEFT(Tabela1[[#This Row],[N°S]],LEN(Tabela1[[#This Row],[N°S]])-1),"")</f>
        <v/>
      </c>
      <c r="E117" s="1" t="str" cm="1">
        <f t="array" ref="E117">IFERROR(time_diff_cor(Tabela1[[#This Row],[Largada]],Tabela1[[#This Row],[Chegada]]),"00:20:00:000")</f>
        <v>00:20:00:000</v>
      </c>
      <c r="F117" s="1" t="str" cm="1">
        <f t="array" ref="F117">IFERROR(time_diff(Tabela1[[#This Row],[TEMPO]],E116),"00:00:00:000")</f>
        <v>00:00:00:00</v>
      </c>
      <c r="G117" s="1" t="str" cm="1">
        <f t="array" aca="1" ref="G117" ca="1">IF(Tabela1[[#This Row],[N°]]=D116,time_sum(Tabela1[[#This Row],[TEMPO]],E116),Tabela1[[#This Row],[TEMPO]])</f>
        <v>00:40:00:000</v>
      </c>
      <c r="H117" s="1" t="e">
        <f>VLOOKUP(C117,LARGADA!A:B,2,FALSE)</f>
        <v>#N/A</v>
      </c>
      <c r="I117" s="1" t="e">
        <f>VLOOKUP(C117,CHEGADA!A:B,2,FALSE)</f>
        <v>#N/A</v>
      </c>
    </row>
    <row r="118" spans="4:9">
      <c r="D118" s="2" t="str">
        <f>IFERROR(LEFT(Tabela1[[#This Row],[N°S]],LEN(Tabela1[[#This Row],[N°S]])-1),"")</f>
        <v/>
      </c>
      <c r="E118" s="1" t="str" cm="1">
        <f t="array" ref="E118">IFERROR(time_diff_cor(Tabela1[[#This Row],[Largada]],Tabela1[[#This Row],[Chegada]]),"00:20:00:000")</f>
        <v>00:20:00:000</v>
      </c>
      <c r="F118" s="1" t="str" cm="1">
        <f t="array" ref="F118">IFERROR(time_diff(Tabela1[[#This Row],[TEMPO]],E117),"00:00:00:000")</f>
        <v>00:00:00:00</v>
      </c>
      <c r="G118" s="1" t="str" cm="1">
        <f t="array" aca="1" ref="G118" ca="1">IF(Tabela1[[#This Row],[N°]]=D117,time_sum(Tabela1[[#This Row],[TEMPO]],E117),Tabela1[[#This Row],[TEMPO]])</f>
        <v>00:40:00:000</v>
      </c>
      <c r="H118" s="1" t="e">
        <f>VLOOKUP(C118,LARGADA!A:B,2,FALSE)</f>
        <v>#N/A</v>
      </c>
      <c r="I118" s="1" t="e">
        <f>VLOOKUP(C118,CHEGADA!A:B,2,FALSE)</f>
        <v>#N/A</v>
      </c>
    </row>
    <row r="119" spans="4:9">
      <c r="D119" s="2" t="str">
        <f>IFERROR(LEFT(Tabela1[[#This Row],[N°S]],LEN(Tabela1[[#This Row],[N°S]])-1),"")</f>
        <v/>
      </c>
      <c r="E119" s="1" t="str" cm="1">
        <f t="array" ref="E119">IFERROR(time_diff_cor(Tabela1[[#This Row],[Largada]],Tabela1[[#This Row],[Chegada]]),"00:20:00:000")</f>
        <v>00:20:00:000</v>
      </c>
      <c r="F119" s="1" t="str" cm="1">
        <f t="array" ref="F119">IFERROR(time_diff(Tabela1[[#This Row],[TEMPO]],E118),"00:00:00:000")</f>
        <v>00:00:00:00</v>
      </c>
      <c r="G119" s="1" t="str" cm="1">
        <f t="array" aca="1" ref="G119" ca="1">IF(Tabela1[[#This Row],[N°]]=D118,time_sum(Tabela1[[#This Row],[TEMPO]],E118),Tabela1[[#This Row],[TEMPO]])</f>
        <v>00:40:00:000</v>
      </c>
      <c r="H119" s="1" t="e">
        <f>VLOOKUP(C119,LARGADA!A:B,2,FALSE)</f>
        <v>#N/A</v>
      </c>
      <c r="I119" s="1" t="e">
        <f>VLOOKUP(C119,CHEGADA!A:B,2,FALSE)</f>
        <v>#N/A</v>
      </c>
    </row>
    <row r="120" spans="4:9">
      <c r="D120" s="2" t="str">
        <f>IFERROR(LEFT(Tabela1[[#This Row],[N°S]],LEN(Tabela1[[#This Row],[N°S]])-1),"")</f>
        <v/>
      </c>
      <c r="E120" s="1" t="str" cm="1">
        <f t="array" ref="E120">IFERROR(time_diff_cor(Tabela1[[#This Row],[Largada]],Tabela1[[#This Row],[Chegada]]),"00:20:00:000")</f>
        <v>00:20:00:000</v>
      </c>
      <c r="F120" s="1" t="str" cm="1">
        <f t="array" ref="F120">IFERROR(time_diff(Tabela1[[#This Row],[TEMPO]],E119),"00:00:00:000")</f>
        <v>00:00:00:00</v>
      </c>
      <c r="G120" s="1" t="str" cm="1">
        <f t="array" aca="1" ref="G120" ca="1">IF(Tabela1[[#This Row],[N°]]=D119,time_sum(Tabela1[[#This Row],[TEMPO]],E119),Tabela1[[#This Row],[TEMPO]])</f>
        <v>00:40:00:000</v>
      </c>
      <c r="H120" s="1" t="e">
        <f>VLOOKUP(C120,LARGADA!A:B,2,FALSE)</f>
        <v>#N/A</v>
      </c>
      <c r="I120" s="1" t="e">
        <f>VLOOKUP(C120,CHEGADA!A:B,2,FALSE)</f>
        <v>#N/A</v>
      </c>
    </row>
    <row r="121" spans="4:9">
      <c r="D121" s="2" t="str">
        <f>IFERROR(LEFT(Tabela1[[#This Row],[N°S]],LEN(Tabela1[[#This Row],[N°S]])-1),"")</f>
        <v/>
      </c>
      <c r="E121" s="1" t="str" cm="1">
        <f t="array" ref="E121">IFERROR(time_diff_cor(Tabela1[[#This Row],[Largada]],Tabela1[[#This Row],[Chegada]]),"00:20:00:000")</f>
        <v>00:20:00:000</v>
      </c>
      <c r="F121" s="1" t="str" cm="1">
        <f t="array" ref="F121">IFERROR(time_diff(Tabela1[[#This Row],[TEMPO]],E120),"00:00:00:000")</f>
        <v>00:00:00:00</v>
      </c>
      <c r="G121" s="1" t="str" cm="1">
        <f t="array" aca="1" ref="G121" ca="1">IF(Tabela1[[#This Row],[N°]]=D120,time_sum(Tabela1[[#This Row],[TEMPO]],E120),Tabela1[[#This Row],[TEMPO]])</f>
        <v>00:40:00:000</v>
      </c>
      <c r="H121" s="1" t="e">
        <f>VLOOKUP(C121,LARGADA!A:B,2,FALSE)</f>
        <v>#N/A</v>
      </c>
      <c r="I121" s="1" t="e">
        <f>VLOOKUP(C121,CHEGADA!A:B,2,FALSE)</f>
        <v>#N/A</v>
      </c>
    </row>
    <row r="122" spans="4:9">
      <c r="D122" s="2" t="str">
        <f>IFERROR(LEFT(Tabela1[[#This Row],[N°S]],LEN(Tabela1[[#This Row],[N°S]])-1),"")</f>
        <v/>
      </c>
      <c r="E122" s="1" t="str" cm="1">
        <f t="array" ref="E122">IFERROR(time_diff_cor(Tabela1[[#This Row],[Largada]],Tabela1[[#This Row],[Chegada]]),"00:20:00:000")</f>
        <v>00:20:00:000</v>
      </c>
      <c r="F122" s="1" t="str" cm="1">
        <f t="array" ref="F122">IFERROR(time_diff(Tabela1[[#This Row],[TEMPO]],E121),"00:00:00:000")</f>
        <v>00:00:00:00</v>
      </c>
      <c r="G122" s="1" t="str" cm="1">
        <f t="array" aca="1" ref="G122" ca="1">IF(Tabela1[[#This Row],[N°]]=D121,time_sum(Tabela1[[#This Row],[TEMPO]],E121),Tabela1[[#This Row],[TEMPO]])</f>
        <v>00:40:00:000</v>
      </c>
      <c r="H122" s="1" t="e">
        <f>VLOOKUP(C122,LARGADA!A:B,2,FALSE)</f>
        <v>#N/A</v>
      </c>
      <c r="I122" s="1" t="e">
        <f>VLOOKUP(C122,CHEGADA!A:B,2,FALSE)</f>
        <v>#N/A</v>
      </c>
    </row>
    <row r="123" spans="4:9">
      <c r="D123" s="2" t="str">
        <f>IFERROR(LEFT(Tabela1[[#This Row],[N°S]],LEN(Tabela1[[#This Row],[N°S]])-1),"")</f>
        <v/>
      </c>
      <c r="E123" s="1" t="str" cm="1">
        <f t="array" ref="E123">IFERROR(time_diff_cor(Tabela1[[#This Row],[Largada]],Tabela1[[#This Row],[Chegada]]),"00:20:00:000")</f>
        <v>00:20:00:000</v>
      </c>
      <c r="F123" s="1" t="str" cm="1">
        <f t="array" ref="F123">IFERROR(time_diff(Tabela1[[#This Row],[TEMPO]],E122),"00:00:00:000")</f>
        <v>00:00:00:00</v>
      </c>
      <c r="G123" s="1" t="str" cm="1">
        <f t="array" aca="1" ref="G123" ca="1">IF(Tabela1[[#This Row],[N°]]=D122,time_sum(Tabela1[[#This Row],[TEMPO]],E122),Tabela1[[#This Row],[TEMPO]])</f>
        <v>00:40:00:000</v>
      </c>
      <c r="H123" s="1" t="e">
        <f>VLOOKUP(C123,LARGADA!A:B,2,FALSE)</f>
        <v>#N/A</v>
      </c>
      <c r="I123" s="1" t="e">
        <f>VLOOKUP(C123,CHEGADA!A:B,2,FALSE)</f>
        <v>#N/A</v>
      </c>
    </row>
    <row r="124" spans="4:9">
      <c r="D124" s="2" t="str">
        <f>IFERROR(LEFT(Tabela1[[#This Row],[N°S]],LEN(Tabela1[[#This Row],[N°S]])-1),"")</f>
        <v/>
      </c>
      <c r="E124" s="1" t="str" cm="1">
        <f t="array" ref="E124">IFERROR(time_diff_cor(Tabela1[[#This Row],[Largada]],Tabela1[[#This Row],[Chegada]]),"00:20:00:000")</f>
        <v>00:20:00:000</v>
      </c>
      <c r="F124" s="1" t="str" cm="1">
        <f t="array" ref="F124">IFERROR(time_diff(Tabela1[[#This Row],[TEMPO]],E123),"00:00:00:000")</f>
        <v>00:00:00:00</v>
      </c>
      <c r="G124" s="1" t="str" cm="1">
        <f t="array" aca="1" ref="G124" ca="1">IF(Tabela1[[#This Row],[N°]]=D123,time_sum(Tabela1[[#This Row],[TEMPO]],E123),Tabela1[[#This Row],[TEMPO]])</f>
        <v>00:40:00:000</v>
      </c>
      <c r="H124" s="1" t="e">
        <f>VLOOKUP(C124,LARGADA!A:B,2,FALSE)</f>
        <v>#N/A</v>
      </c>
      <c r="I124" s="1" t="e">
        <f>VLOOKUP(C124,CHEGADA!A:B,2,FALSE)</f>
        <v>#N/A</v>
      </c>
    </row>
    <row r="125" spans="4:9">
      <c r="D125" s="2" t="str">
        <f>IFERROR(LEFT(Tabela1[[#This Row],[N°S]],LEN(Tabela1[[#This Row],[N°S]])-1),"")</f>
        <v/>
      </c>
      <c r="E125" s="1" t="str" cm="1">
        <f t="array" ref="E125">IFERROR(time_diff_cor(Tabela1[[#This Row],[Largada]],Tabela1[[#This Row],[Chegada]]),"00:20:00:000")</f>
        <v>00:20:00:000</v>
      </c>
      <c r="F125" s="1" t="str" cm="1">
        <f t="array" ref="F125">IFERROR(time_diff(Tabela1[[#This Row],[TEMPO]],E124),"00:00:00:000")</f>
        <v>00:00:00:00</v>
      </c>
      <c r="G125" s="1" t="str" cm="1">
        <f t="array" aca="1" ref="G125" ca="1">IF(Tabela1[[#This Row],[N°]]=D124,time_sum(Tabela1[[#This Row],[TEMPO]],E124),Tabela1[[#This Row],[TEMPO]])</f>
        <v>00:40:00:000</v>
      </c>
      <c r="H125" s="1" t="e">
        <f>VLOOKUP(C125,LARGADA!A:B,2,FALSE)</f>
        <v>#N/A</v>
      </c>
      <c r="I125" s="1" t="e">
        <f>VLOOKUP(C125,CHEGADA!A:B,2,FALSE)</f>
        <v>#N/A</v>
      </c>
    </row>
    <row r="126" spans="4:9">
      <c r="D126" s="2" t="str">
        <f>IFERROR(LEFT(Tabela1[[#This Row],[N°S]],LEN(Tabela1[[#This Row],[N°S]])-1),"")</f>
        <v/>
      </c>
      <c r="E126" s="1" t="str" cm="1">
        <f t="array" ref="E126">IFERROR(time_diff_cor(Tabela1[[#This Row],[Largada]],Tabela1[[#This Row],[Chegada]]),"00:20:00:000")</f>
        <v>00:20:00:000</v>
      </c>
      <c r="F126" s="1" t="str" cm="1">
        <f t="array" ref="F126">IFERROR(time_diff(Tabela1[[#This Row],[TEMPO]],E125),"00:00:00:000")</f>
        <v>00:00:00:00</v>
      </c>
      <c r="G126" s="1" t="str" cm="1">
        <f t="array" aca="1" ref="G126" ca="1">IF(Tabela1[[#This Row],[N°]]=D125,time_sum(Tabela1[[#This Row],[TEMPO]],E125),Tabela1[[#This Row],[TEMPO]])</f>
        <v>00:40:00:000</v>
      </c>
      <c r="H126" s="1" t="e">
        <f>VLOOKUP(C126,LARGADA!A:B,2,FALSE)</f>
        <v>#N/A</v>
      </c>
      <c r="I126" s="1" t="e">
        <f>VLOOKUP(C126,CHEGADA!A:B,2,FALSE)</f>
        <v>#N/A</v>
      </c>
    </row>
    <row r="127" spans="4:9">
      <c r="D127" s="2" t="str">
        <f>IFERROR(LEFT(Tabela1[[#This Row],[N°S]],LEN(Tabela1[[#This Row],[N°S]])-1),"")</f>
        <v/>
      </c>
      <c r="E127" s="1" t="str" cm="1">
        <f t="array" ref="E127">IFERROR(time_diff_cor(Tabela1[[#This Row],[Largada]],Tabela1[[#This Row],[Chegada]]),"00:20:00:000")</f>
        <v>00:20:00:000</v>
      </c>
      <c r="F127" s="1" t="str" cm="1">
        <f t="array" ref="F127">IFERROR(time_diff(Tabela1[[#This Row],[TEMPO]],E126),"00:00:00:000")</f>
        <v>00:00:00:00</v>
      </c>
      <c r="G127" s="1" t="str" cm="1">
        <f t="array" aca="1" ref="G127" ca="1">IF(Tabela1[[#This Row],[N°]]=D126,time_sum(Tabela1[[#This Row],[TEMPO]],E126),Tabela1[[#This Row],[TEMPO]])</f>
        <v>00:40:00:000</v>
      </c>
      <c r="H127" s="1" t="e">
        <f>VLOOKUP(C127,LARGADA!A:B,2,FALSE)</f>
        <v>#N/A</v>
      </c>
      <c r="I127" s="1" t="e">
        <f>VLOOKUP(C127,CHEGADA!A:B,2,FALSE)</f>
        <v>#N/A</v>
      </c>
    </row>
    <row r="128" spans="4:9">
      <c r="D128" s="2" t="str">
        <f>IFERROR(LEFT(Tabela1[[#This Row],[N°S]],LEN(Tabela1[[#This Row],[N°S]])-1),"")</f>
        <v/>
      </c>
      <c r="E128" s="1" t="str" cm="1">
        <f t="array" ref="E128">IFERROR(time_diff_cor(Tabela1[[#This Row],[Largada]],Tabela1[[#This Row],[Chegada]]),"00:20:00:000")</f>
        <v>00:20:00:000</v>
      </c>
      <c r="F128" s="1" t="str" cm="1">
        <f t="array" ref="F128">IFERROR(time_diff(Tabela1[[#This Row],[TEMPO]],E127),"00:00:00:000")</f>
        <v>00:00:00:00</v>
      </c>
      <c r="G128" s="1" t="str" cm="1">
        <f t="array" aca="1" ref="G128" ca="1">IF(Tabela1[[#This Row],[N°]]=D127,time_sum(Tabela1[[#This Row],[TEMPO]],E127),Tabela1[[#This Row],[TEMPO]])</f>
        <v>00:40:00:000</v>
      </c>
      <c r="H128" s="1" t="e">
        <f>VLOOKUP(C128,LARGADA!A:B,2,FALSE)</f>
        <v>#N/A</v>
      </c>
      <c r="I128" s="1" t="e">
        <f>VLOOKUP(C128,CHEGADA!A:B,2,FALSE)</f>
        <v>#N/A</v>
      </c>
    </row>
    <row r="129" spans="4:9">
      <c r="D129" s="2" t="str">
        <f>IFERROR(LEFT(Tabela1[[#This Row],[N°S]],LEN(Tabela1[[#This Row],[N°S]])-1),"")</f>
        <v/>
      </c>
      <c r="E129" s="1" t="str" cm="1">
        <f t="array" ref="E129">IFERROR(time_diff_cor(Tabela1[[#This Row],[Largada]],Tabela1[[#This Row],[Chegada]]),"00:20:00:000")</f>
        <v>00:20:00:000</v>
      </c>
      <c r="F129" s="1" t="str" cm="1">
        <f t="array" ref="F129">IFERROR(time_diff(Tabela1[[#This Row],[TEMPO]],E128),"00:00:00:000")</f>
        <v>00:00:00:00</v>
      </c>
      <c r="G129" s="1" t="str" cm="1">
        <f t="array" aca="1" ref="G129" ca="1">IF(Tabela1[[#This Row],[N°]]=D128,time_sum(Tabela1[[#This Row],[TEMPO]],E128),Tabela1[[#This Row],[TEMPO]])</f>
        <v>00:40:00:000</v>
      </c>
      <c r="H129" s="1" t="e">
        <f>VLOOKUP(C129,LARGADA!A:B,2,FALSE)</f>
        <v>#N/A</v>
      </c>
      <c r="I129" s="1" t="e">
        <f>VLOOKUP(C129,CHEGADA!A:B,2,FALSE)</f>
        <v>#N/A</v>
      </c>
    </row>
    <row r="130" spans="4:9">
      <c r="D130" s="2" t="str">
        <f>IFERROR(LEFT(Tabela1[[#This Row],[N°S]],LEN(Tabela1[[#This Row],[N°S]])-1),"")</f>
        <v/>
      </c>
      <c r="E130" s="1" t="str" cm="1">
        <f t="array" ref="E130">IFERROR(time_diff_cor(Tabela1[[#This Row],[Largada]],Tabela1[[#This Row],[Chegada]]),"00:20:00:000")</f>
        <v>00:20:00:000</v>
      </c>
      <c r="F130" s="1" t="str" cm="1">
        <f t="array" ref="F130">IFERROR(time_diff(Tabela1[[#This Row],[TEMPO]],E129),"00:00:00:000")</f>
        <v>00:00:00:00</v>
      </c>
      <c r="G130" s="1" t="str" cm="1">
        <f t="array" aca="1" ref="G130" ca="1">IF(Tabela1[[#This Row],[N°]]=D129,time_sum(Tabela1[[#This Row],[TEMPO]],E129),Tabela1[[#This Row],[TEMPO]])</f>
        <v>00:40:00:000</v>
      </c>
      <c r="H130" s="1" t="e">
        <f>VLOOKUP(C130,LARGADA!A:B,2,FALSE)</f>
        <v>#N/A</v>
      </c>
      <c r="I130" s="1" t="e">
        <f>VLOOKUP(C130,CHEGADA!A:B,2,FALSE)</f>
        <v>#N/A</v>
      </c>
    </row>
    <row r="131" spans="4:9">
      <c r="D131" s="2" t="str">
        <f>IFERROR(LEFT(Tabela1[[#This Row],[N°S]],LEN(Tabela1[[#This Row],[N°S]])-1),"")</f>
        <v/>
      </c>
      <c r="E131" s="1" t="str" cm="1">
        <f t="array" ref="E131">IFERROR(time_diff_cor(Tabela1[[#This Row],[Largada]],Tabela1[[#This Row],[Chegada]]),"00:20:00:000")</f>
        <v>00:20:00:000</v>
      </c>
      <c r="F131" s="1" t="str" cm="1">
        <f t="array" ref="F131">IFERROR(time_diff(Tabela1[[#This Row],[TEMPO]],E130),"00:00:00:000")</f>
        <v>00:00:00:00</v>
      </c>
      <c r="G131" s="1" t="str" cm="1">
        <f t="array" aca="1" ref="G131" ca="1">IF(Tabela1[[#This Row],[N°]]=D130,time_sum(Tabela1[[#This Row],[TEMPO]],E130),Tabela1[[#This Row],[TEMPO]])</f>
        <v>00:40:00:000</v>
      </c>
      <c r="H131" s="1" t="e">
        <f>VLOOKUP(C131,LARGADA!A:B,2,FALSE)</f>
        <v>#N/A</v>
      </c>
      <c r="I131" s="1" t="e">
        <f>VLOOKUP(C131,CHEGADA!A:B,2,FALSE)</f>
        <v>#N/A</v>
      </c>
    </row>
    <row r="132" spans="4:9">
      <c r="D132" s="2" t="str">
        <f>IFERROR(LEFT(Tabela1[[#This Row],[N°S]],LEN(Tabela1[[#This Row],[N°S]])-1),"")</f>
        <v/>
      </c>
      <c r="E132" s="1" t="str" cm="1">
        <f t="array" ref="E132">IFERROR(time_diff_cor(Tabela1[[#This Row],[Largada]],Tabela1[[#This Row],[Chegada]]),"00:20:00:000")</f>
        <v>00:20:00:000</v>
      </c>
      <c r="F132" s="1" t="str" cm="1">
        <f t="array" ref="F132">IFERROR(time_diff(Tabela1[[#This Row],[TEMPO]],E131),"00:00:00:000")</f>
        <v>00:00:00:00</v>
      </c>
      <c r="G132" s="1" t="str" cm="1">
        <f t="array" aca="1" ref="G132" ca="1">IF(Tabela1[[#This Row],[N°]]=D131,time_sum(Tabela1[[#This Row],[TEMPO]],E131),Tabela1[[#This Row],[TEMPO]])</f>
        <v>00:40:00:000</v>
      </c>
      <c r="H132" s="1" t="e">
        <f>VLOOKUP(C132,LARGADA!A:B,2,FALSE)</f>
        <v>#N/A</v>
      </c>
      <c r="I132" s="1" t="e">
        <f>VLOOKUP(C132,CHEGADA!A:B,2,FALSE)</f>
        <v>#N/A</v>
      </c>
    </row>
    <row r="133" spans="4:9">
      <c r="D133" s="2" t="str">
        <f>IFERROR(LEFT(Tabela1[[#This Row],[N°S]],LEN(Tabela1[[#This Row],[N°S]])-1),"")</f>
        <v/>
      </c>
      <c r="E133" s="1" t="str" cm="1">
        <f t="array" ref="E133">IFERROR(time_diff_cor(Tabela1[[#This Row],[Largada]],Tabela1[[#This Row],[Chegada]]),"00:20:00:000")</f>
        <v>00:20:00:000</v>
      </c>
      <c r="F133" s="1" t="str" cm="1">
        <f t="array" ref="F133">IFERROR(time_diff(Tabela1[[#This Row],[TEMPO]],E132),"00:00:00:000")</f>
        <v>00:00:00:00</v>
      </c>
      <c r="G133" s="1" t="str" cm="1">
        <f t="array" aca="1" ref="G133" ca="1">IF(Tabela1[[#This Row],[N°]]=D132,time_sum(Tabela1[[#This Row],[TEMPO]],E132),Tabela1[[#This Row],[TEMPO]])</f>
        <v>00:40:00:000</v>
      </c>
      <c r="H133" s="1" t="e">
        <f>VLOOKUP(C133,LARGADA!A:B,2,FALSE)</f>
        <v>#N/A</v>
      </c>
      <c r="I133" s="1" t="e">
        <f>VLOOKUP(C133,CHEGADA!A:B,2,FALSE)</f>
        <v>#N/A</v>
      </c>
    </row>
    <row r="134" spans="4:9">
      <c r="D134" s="2" t="str">
        <f>IFERROR(LEFT(Tabela1[[#This Row],[N°S]],LEN(Tabela1[[#This Row],[N°S]])-1),"")</f>
        <v/>
      </c>
      <c r="E134" s="1" t="str" cm="1">
        <f t="array" ref="E134">IFERROR(time_diff_cor(Tabela1[[#This Row],[Largada]],Tabela1[[#This Row],[Chegada]]),"00:20:00:000")</f>
        <v>00:20:00:000</v>
      </c>
      <c r="F134" s="1" t="str" cm="1">
        <f t="array" ref="F134">IFERROR(time_diff(Tabela1[[#This Row],[TEMPO]],E133),"00:00:00:000")</f>
        <v>00:00:00:00</v>
      </c>
      <c r="G134" s="1" t="str" cm="1">
        <f t="array" aca="1" ref="G134" ca="1">IF(Tabela1[[#This Row],[N°]]=D133,time_sum(Tabela1[[#This Row],[TEMPO]],E133),Tabela1[[#This Row],[TEMPO]])</f>
        <v>00:40:00:000</v>
      </c>
      <c r="H134" s="1" t="e">
        <f>VLOOKUP(C134,LARGADA!A:B,2,FALSE)</f>
        <v>#N/A</v>
      </c>
      <c r="I134" s="1" t="e">
        <f>VLOOKUP(C134,CHEGADA!A:B,2,FALSE)</f>
        <v>#N/A</v>
      </c>
    </row>
    <row r="135" spans="4:9">
      <c r="D135" s="2" t="str">
        <f>IFERROR(LEFT(Tabela1[[#This Row],[N°S]],LEN(Tabela1[[#This Row],[N°S]])-1),"")</f>
        <v/>
      </c>
      <c r="E135" s="1" t="str" cm="1">
        <f t="array" ref="E135">IFERROR(time_diff_cor(Tabela1[[#This Row],[Largada]],Tabela1[[#This Row],[Chegada]]),"00:20:00:000")</f>
        <v>00:20:00:000</v>
      </c>
      <c r="F135" s="1" t="str" cm="1">
        <f t="array" ref="F135">IFERROR(time_diff(Tabela1[[#This Row],[TEMPO]],E134),"00:00:00:000")</f>
        <v>00:00:00:00</v>
      </c>
      <c r="G135" s="1" t="str" cm="1">
        <f t="array" aca="1" ref="G135" ca="1">IF(Tabela1[[#This Row],[N°]]=D134,time_sum(Tabela1[[#This Row],[TEMPO]],E134),Tabela1[[#This Row],[TEMPO]])</f>
        <v>00:40:00:000</v>
      </c>
      <c r="H135" s="1" t="e">
        <f>VLOOKUP(C135,LARGADA!A:B,2,FALSE)</f>
        <v>#N/A</v>
      </c>
      <c r="I135" s="1" t="e">
        <f>VLOOKUP(C135,CHEGADA!A:B,2,FALSE)</f>
        <v>#N/A</v>
      </c>
    </row>
    <row r="136" spans="4:9">
      <c r="D136" s="2" t="str">
        <f>IFERROR(LEFT(Tabela1[[#This Row],[N°S]],LEN(Tabela1[[#This Row],[N°S]])-1),"")</f>
        <v/>
      </c>
      <c r="E136" s="1" t="str" cm="1">
        <f t="array" ref="E136">IFERROR(time_diff_cor(Tabela1[[#This Row],[Largada]],Tabela1[[#This Row],[Chegada]]),"00:20:00:000")</f>
        <v>00:20:00:000</v>
      </c>
      <c r="F136" s="1" t="str" cm="1">
        <f t="array" ref="F136">IFERROR(time_diff(Tabela1[[#This Row],[TEMPO]],E135),"00:00:00:000")</f>
        <v>00:00:00:00</v>
      </c>
      <c r="G136" s="1" t="str" cm="1">
        <f t="array" aca="1" ref="G136" ca="1">IF(Tabela1[[#This Row],[N°]]=D135,time_sum(Tabela1[[#This Row],[TEMPO]],E135),Tabela1[[#This Row],[TEMPO]])</f>
        <v>00:40:00:000</v>
      </c>
      <c r="H136" s="1" t="e">
        <f>VLOOKUP(C136,LARGADA!A:B,2,FALSE)</f>
        <v>#N/A</v>
      </c>
      <c r="I136" s="1" t="e">
        <f>VLOOKUP(C136,CHEGADA!A:B,2,FALSE)</f>
        <v>#N/A</v>
      </c>
    </row>
    <row r="137" spans="4:9">
      <c r="D137" s="2" t="str">
        <f>IFERROR(LEFT(Tabela1[[#This Row],[N°S]],LEN(Tabela1[[#This Row],[N°S]])-1),"")</f>
        <v/>
      </c>
      <c r="E137" s="1" t="str" cm="1">
        <f t="array" ref="E137">IFERROR(time_diff_cor(Tabela1[[#This Row],[Largada]],Tabela1[[#This Row],[Chegada]]),"00:20:00:000")</f>
        <v>00:20:00:000</v>
      </c>
      <c r="F137" s="1" t="str" cm="1">
        <f t="array" ref="F137">IFERROR(time_diff(Tabela1[[#This Row],[TEMPO]],E136),"00:00:00:000")</f>
        <v>00:00:00:00</v>
      </c>
      <c r="G137" s="1" t="str" cm="1">
        <f t="array" aca="1" ref="G137" ca="1">IF(Tabela1[[#This Row],[N°]]=D136,time_sum(Tabela1[[#This Row],[TEMPO]],E136),Tabela1[[#This Row],[TEMPO]])</f>
        <v>00:40:00:000</v>
      </c>
      <c r="H137" s="1" t="e">
        <f>VLOOKUP(C137,LARGADA!A:B,2,FALSE)</f>
        <v>#N/A</v>
      </c>
      <c r="I137" s="1" t="e">
        <f>VLOOKUP(C137,CHEGADA!A:B,2,FALSE)</f>
        <v>#N/A</v>
      </c>
    </row>
    <row r="138" spans="4:9">
      <c r="D138" s="2" t="str">
        <f>IFERROR(LEFT(Tabela1[[#This Row],[N°S]],LEN(Tabela1[[#This Row],[N°S]])-1),"")</f>
        <v/>
      </c>
      <c r="E138" s="1" t="str" cm="1">
        <f t="array" ref="E138">IFERROR(time_diff_cor(Tabela1[[#This Row],[Largada]],Tabela1[[#This Row],[Chegada]]),"00:20:00:000")</f>
        <v>00:20:00:000</v>
      </c>
      <c r="F138" s="1" t="str" cm="1">
        <f t="array" ref="F138">IFERROR(time_diff(Tabela1[[#This Row],[TEMPO]],E137),"00:00:00:000")</f>
        <v>00:00:00:00</v>
      </c>
      <c r="G138" s="1" t="str" cm="1">
        <f t="array" aca="1" ref="G138" ca="1">IF(Tabela1[[#This Row],[N°]]=D137,time_sum(Tabela1[[#This Row],[TEMPO]],E137),Tabela1[[#This Row],[TEMPO]])</f>
        <v>00:40:00:000</v>
      </c>
      <c r="H138" s="1" t="e">
        <f>VLOOKUP(C138,LARGADA!A:B,2,FALSE)</f>
        <v>#N/A</v>
      </c>
      <c r="I138" s="1" t="e">
        <f>VLOOKUP(C138,CHEGADA!A:B,2,FALSE)</f>
        <v>#N/A</v>
      </c>
    </row>
    <row r="139" spans="4:9">
      <c r="D139" s="2" t="str">
        <f>IFERROR(LEFT(Tabela1[[#This Row],[N°S]],LEN(Tabela1[[#This Row],[N°S]])-1),"")</f>
        <v/>
      </c>
      <c r="E139" s="1" t="str" cm="1">
        <f t="array" ref="E139">IFERROR(time_diff_cor(Tabela1[[#This Row],[Largada]],Tabela1[[#This Row],[Chegada]]),"00:20:00:000")</f>
        <v>00:20:00:000</v>
      </c>
      <c r="F139" s="1" t="str" cm="1">
        <f t="array" ref="F139">IFERROR(time_diff(Tabela1[[#This Row],[TEMPO]],E138),"00:00:00:000")</f>
        <v>00:00:00:00</v>
      </c>
      <c r="G139" s="1" t="str" cm="1">
        <f t="array" aca="1" ref="G139" ca="1">IF(Tabela1[[#This Row],[N°]]=D138,time_sum(Tabela1[[#This Row],[TEMPO]],E138),Tabela1[[#This Row],[TEMPO]])</f>
        <v>00:40:00:000</v>
      </c>
      <c r="H139" s="1" t="e">
        <f>VLOOKUP(C139,LARGADA!A:B,2,FALSE)</f>
        <v>#N/A</v>
      </c>
      <c r="I139" s="1" t="e">
        <f>VLOOKUP(C139,CHEGADA!A:B,2,FALSE)</f>
        <v>#N/A</v>
      </c>
    </row>
    <row r="140" spans="4:9">
      <c r="D140" s="2" t="str">
        <f>IFERROR(LEFT(Tabela1[[#This Row],[N°S]],LEN(Tabela1[[#This Row],[N°S]])-1),"")</f>
        <v/>
      </c>
      <c r="E140" s="1" t="str" cm="1">
        <f t="array" ref="E140">IFERROR(time_diff_cor(Tabela1[[#This Row],[Largada]],Tabela1[[#This Row],[Chegada]]),"00:20:00:000")</f>
        <v>00:20:00:000</v>
      </c>
      <c r="F140" s="1" t="str" cm="1">
        <f t="array" ref="F140">IFERROR(time_diff(Tabela1[[#This Row],[TEMPO]],E139),"00:00:00:000")</f>
        <v>00:00:00:00</v>
      </c>
      <c r="G140" s="1" t="str" cm="1">
        <f t="array" aca="1" ref="G140" ca="1">IF(Tabela1[[#This Row],[N°]]=D139,time_sum(Tabela1[[#This Row],[TEMPO]],E139),Tabela1[[#This Row],[TEMPO]])</f>
        <v>00:40:00:000</v>
      </c>
      <c r="H140" s="1" t="e">
        <f>VLOOKUP(C140,LARGADA!A:B,2,FALSE)</f>
        <v>#N/A</v>
      </c>
      <c r="I140" s="1" t="e">
        <f>VLOOKUP(C140,CHEGADA!A:B,2,FALSE)</f>
        <v>#N/A</v>
      </c>
    </row>
    <row r="141" spans="4:9">
      <c r="D141" s="2" t="str">
        <f>IFERROR(LEFT(Tabela1[[#This Row],[N°S]],LEN(Tabela1[[#This Row],[N°S]])-1),"")</f>
        <v/>
      </c>
      <c r="E141" s="1" t="str" cm="1">
        <f t="array" ref="E141">IFERROR(time_diff_cor(Tabela1[[#This Row],[Largada]],Tabela1[[#This Row],[Chegada]]),"00:20:00:000")</f>
        <v>00:20:00:000</v>
      </c>
      <c r="F141" s="1" t="str" cm="1">
        <f t="array" ref="F141">IFERROR(time_diff(Tabela1[[#This Row],[TEMPO]],E140),"00:00:00:000")</f>
        <v>00:00:00:00</v>
      </c>
      <c r="G141" s="1" t="str" cm="1">
        <f t="array" aca="1" ref="G141" ca="1">IF(Tabela1[[#This Row],[N°]]=D140,time_sum(Tabela1[[#This Row],[TEMPO]],E140),Tabela1[[#This Row],[TEMPO]])</f>
        <v>00:40:00:000</v>
      </c>
      <c r="H141" s="1" t="e">
        <f>VLOOKUP(C141,LARGADA!A:B,2,FALSE)</f>
        <v>#N/A</v>
      </c>
      <c r="I141" s="1" t="e">
        <f>VLOOKUP(C141,CHEGADA!A:B,2,FALSE)</f>
        <v>#N/A</v>
      </c>
    </row>
    <row r="142" spans="4:9">
      <c r="D142" s="2" t="str">
        <f>IFERROR(LEFT(Tabela1[[#This Row],[N°S]],LEN(Tabela1[[#This Row],[N°S]])-1),"")</f>
        <v/>
      </c>
      <c r="E142" s="1" t="str" cm="1">
        <f t="array" ref="E142">IFERROR(time_diff_cor(Tabela1[[#This Row],[Largada]],Tabela1[[#This Row],[Chegada]]),"00:20:00:000")</f>
        <v>00:20:00:000</v>
      </c>
      <c r="F142" s="1" t="str" cm="1">
        <f t="array" ref="F142">IFERROR(time_diff(Tabela1[[#This Row],[TEMPO]],E141),"00:00:00:000")</f>
        <v>00:00:00:00</v>
      </c>
      <c r="G142" s="1" t="str" cm="1">
        <f t="array" aca="1" ref="G142" ca="1">IF(Tabela1[[#This Row],[N°]]=D141,time_sum(Tabela1[[#This Row],[TEMPO]],E141),Tabela1[[#This Row],[TEMPO]])</f>
        <v>00:40:00:000</v>
      </c>
      <c r="H142" s="1" t="e">
        <f>VLOOKUP(C142,LARGADA!A:B,2,FALSE)</f>
        <v>#N/A</v>
      </c>
      <c r="I142" s="1" t="e">
        <f>VLOOKUP(C142,CHEGADA!A:B,2,FALSE)</f>
        <v>#N/A</v>
      </c>
    </row>
    <row r="143" spans="4:9">
      <c r="D143" s="2" t="str">
        <f>IFERROR(LEFT(Tabela1[[#This Row],[N°S]],LEN(Tabela1[[#This Row],[N°S]])-1),"")</f>
        <v/>
      </c>
      <c r="E143" s="1" t="str" cm="1">
        <f t="array" ref="E143">IFERROR(time_diff_cor(Tabela1[[#This Row],[Largada]],Tabela1[[#This Row],[Chegada]]),"00:20:00:000")</f>
        <v>00:20:00:000</v>
      </c>
      <c r="F143" s="1" t="str" cm="1">
        <f t="array" ref="F143">IFERROR(time_diff(Tabela1[[#This Row],[TEMPO]],E142),"00:00:00:000")</f>
        <v>00:00:00:00</v>
      </c>
      <c r="G143" s="1" t="str" cm="1">
        <f t="array" aca="1" ref="G143" ca="1">IF(Tabela1[[#This Row],[N°]]=D142,time_sum(Tabela1[[#This Row],[TEMPO]],E142),Tabela1[[#This Row],[TEMPO]])</f>
        <v>00:40:00:000</v>
      </c>
      <c r="H143" s="1" t="e">
        <f>VLOOKUP(C143,LARGADA!A:B,2,FALSE)</f>
        <v>#N/A</v>
      </c>
      <c r="I143" s="1" t="e">
        <f>VLOOKUP(C143,CHEGADA!A:B,2,FALSE)</f>
        <v>#N/A</v>
      </c>
    </row>
    <row r="144" spans="4:9">
      <c r="D144" s="2" t="str">
        <f>IFERROR(LEFT(Tabela1[[#This Row],[N°S]],LEN(Tabela1[[#This Row],[N°S]])-1),"")</f>
        <v/>
      </c>
      <c r="E144" s="1" t="str" cm="1">
        <f t="array" ref="E144">IFERROR(time_diff_cor(Tabela1[[#This Row],[Largada]],Tabela1[[#This Row],[Chegada]]),"00:20:00:000")</f>
        <v>00:20:00:000</v>
      </c>
      <c r="F144" s="1" t="str" cm="1">
        <f t="array" ref="F144">IFERROR(time_diff(Tabela1[[#This Row],[TEMPO]],E143),"00:00:00:000")</f>
        <v>00:00:00:00</v>
      </c>
      <c r="G144" s="1" t="str" cm="1">
        <f t="array" aca="1" ref="G144" ca="1">IF(Tabela1[[#This Row],[N°]]=D143,time_sum(Tabela1[[#This Row],[TEMPO]],E143),Tabela1[[#This Row],[TEMPO]])</f>
        <v>00:40:00:000</v>
      </c>
      <c r="H144" s="1" t="e">
        <f>VLOOKUP(C144,LARGADA!A:B,2,FALSE)</f>
        <v>#N/A</v>
      </c>
      <c r="I144" s="1" t="e">
        <f>VLOOKUP(C144,CHEGADA!A:B,2,FALSE)</f>
        <v>#N/A</v>
      </c>
    </row>
    <row r="145" spans="4:9">
      <c r="D145" s="2" t="str">
        <f>IFERROR(LEFT(Tabela1[[#This Row],[N°S]],LEN(Tabela1[[#This Row],[N°S]])-1),"")</f>
        <v/>
      </c>
      <c r="E145" s="1" t="str" cm="1">
        <f t="array" ref="E145">IFERROR(time_diff_cor(Tabela1[[#This Row],[Largada]],Tabela1[[#This Row],[Chegada]]),"00:20:00:000")</f>
        <v>00:20:00:000</v>
      </c>
      <c r="F145" s="1" t="str" cm="1">
        <f t="array" ref="F145">IFERROR(time_diff(Tabela1[[#This Row],[TEMPO]],E144),"00:00:00:000")</f>
        <v>00:00:00:00</v>
      </c>
      <c r="G145" s="1" t="str" cm="1">
        <f t="array" aca="1" ref="G145" ca="1">IF(Tabela1[[#This Row],[N°]]=D144,time_sum(Tabela1[[#This Row],[TEMPO]],E144),Tabela1[[#This Row],[TEMPO]])</f>
        <v>00:40:00:000</v>
      </c>
      <c r="H145" s="1" t="e">
        <f>VLOOKUP(C145,LARGADA!A:B,2,FALSE)</f>
        <v>#N/A</v>
      </c>
      <c r="I145" s="1" t="e">
        <f>VLOOKUP(C145,CHEGADA!A:B,2,FALSE)</f>
        <v>#N/A</v>
      </c>
    </row>
    <row r="146" spans="4:9">
      <c r="D146" s="2" t="str">
        <f>IFERROR(LEFT(Tabela1[[#This Row],[N°S]],LEN(Tabela1[[#This Row],[N°S]])-1),"")</f>
        <v/>
      </c>
      <c r="E146" s="1" t="str" cm="1">
        <f t="array" ref="E146">IFERROR(time_diff_cor(Tabela1[[#This Row],[Largada]],Tabela1[[#This Row],[Chegada]]),"00:20:00:000")</f>
        <v>00:20:00:000</v>
      </c>
      <c r="F146" s="1" t="str" cm="1">
        <f t="array" ref="F146">IFERROR(time_diff(Tabela1[[#This Row],[TEMPO]],E145),"00:00:00:000")</f>
        <v>00:00:00:00</v>
      </c>
      <c r="G146" s="1" t="str" cm="1">
        <f t="array" aca="1" ref="G146" ca="1">IF(Tabela1[[#This Row],[N°]]=D145,time_sum(Tabela1[[#This Row],[TEMPO]],E145),Tabela1[[#This Row],[TEMPO]])</f>
        <v>00:40:00:000</v>
      </c>
      <c r="H146" s="1" t="e">
        <f>VLOOKUP(C146,LARGADA!A:B,2,FALSE)</f>
        <v>#N/A</v>
      </c>
      <c r="I146" s="1" t="e">
        <f>VLOOKUP(C146,CHEGADA!A:B,2,FALSE)</f>
        <v>#N/A</v>
      </c>
    </row>
    <row r="147" spans="4:9">
      <c r="D147" s="2" t="str">
        <f>IFERROR(LEFT(Tabela1[[#This Row],[N°S]],LEN(Tabela1[[#This Row],[N°S]])-1),"")</f>
        <v/>
      </c>
      <c r="E147" s="1" t="str" cm="1">
        <f t="array" ref="E147">IFERROR(time_diff_cor(Tabela1[[#This Row],[Largada]],Tabela1[[#This Row],[Chegada]]),"00:20:00:000")</f>
        <v>00:20:00:000</v>
      </c>
      <c r="F147" s="1" t="str" cm="1">
        <f t="array" ref="F147">IFERROR(time_diff(Tabela1[[#This Row],[TEMPO]],E146),"00:00:00:000")</f>
        <v>00:00:00:00</v>
      </c>
      <c r="G147" s="1" t="str" cm="1">
        <f t="array" aca="1" ref="G147" ca="1">IF(Tabela1[[#This Row],[N°]]=D146,time_sum(Tabela1[[#This Row],[TEMPO]],E146),Tabela1[[#This Row],[TEMPO]])</f>
        <v>00:40:00:000</v>
      </c>
      <c r="H147" s="1" t="e">
        <f>VLOOKUP(C147,LARGADA!A:B,2,FALSE)</f>
        <v>#N/A</v>
      </c>
      <c r="I147" s="1" t="e">
        <f>VLOOKUP(C147,CHEGADA!A:B,2,FALSE)</f>
        <v>#N/A</v>
      </c>
    </row>
    <row r="148" spans="4:9">
      <c r="D148" s="2" t="str">
        <f>IFERROR(LEFT(Tabela1[[#This Row],[N°S]],LEN(Tabela1[[#This Row],[N°S]])-1),"")</f>
        <v/>
      </c>
      <c r="E148" s="1" t="str" cm="1">
        <f t="array" ref="E148">IFERROR(time_diff_cor(Tabela1[[#This Row],[Largada]],Tabela1[[#This Row],[Chegada]]),"00:20:00:000")</f>
        <v>00:20:00:000</v>
      </c>
      <c r="F148" s="1" t="str" cm="1">
        <f t="array" ref="F148">IFERROR(time_diff(Tabela1[[#This Row],[TEMPO]],E147),"00:00:00:000")</f>
        <v>00:00:00:00</v>
      </c>
      <c r="G148" s="1" t="str" cm="1">
        <f t="array" aca="1" ref="G148" ca="1">IF(Tabela1[[#This Row],[N°]]=D147,time_sum(Tabela1[[#This Row],[TEMPO]],E147),Tabela1[[#This Row],[TEMPO]])</f>
        <v>00:40:00:000</v>
      </c>
      <c r="H148" s="1" t="e">
        <f>VLOOKUP(C148,LARGADA!A:B,2,FALSE)</f>
        <v>#N/A</v>
      </c>
      <c r="I148" s="1" t="e">
        <f>VLOOKUP(C148,CHEGADA!A:B,2,FALSE)</f>
        <v>#N/A</v>
      </c>
    </row>
    <row r="149" spans="4:9">
      <c r="D149" s="2" t="str">
        <f>IFERROR(LEFT(Tabela1[[#This Row],[N°S]],LEN(Tabela1[[#This Row],[N°S]])-1),"")</f>
        <v/>
      </c>
      <c r="E149" s="1" t="str" cm="1">
        <f t="array" ref="E149">IFERROR(time_diff_cor(Tabela1[[#This Row],[Largada]],Tabela1[[#This Row],[Chegada]]),"00:20:00:000")</f>
        <v>00:20:00:000</v>
      </c>
      <c r="F149" s="1" t="str" cm="1">
        <f t="array" ref="F149">IFERROR(time_diff(Tabela1[[#This Row],[TEMPO]],E148),"00:00:00:000")</f>
        <v>00:00:00:00</v>
      </c>
      <c r="G149" s="1" t="str" cm="1">
        <f t="array" aca="1" ref="G149" ca="1">IF(Tabela1[[#This Row],[N°]]=D148,time_sum(Tabela1[[#This Row],[TEMPO]],E148),Tabela1[[#This Row],[TEMPO]])</f>
        <v>00:40:00:000</v>
      </c>
      <c r="H149" s="1" t="e">
        <f>VLOOKUP(C149,LARGADA!A:B,2,FALSE)</f>
        <v>#N/A</v>
      </c>
      <c r="I149" s="1" t="e">
        <f>VLOOKUP(C149,CHEGADA!A:B,2,FALSE)</f>
        <v>#N/A</v>
      </c>
    </row>
    <row r="150" spans="4:9">
      <c r="D150" s="2" t="str">
        <f>IFERROR(LEFT(Tabela1[[#This Row],[N°S]],LEN(Tabela1[[#This Row],[N°S]])-1),"")</f>
        <v/>
      </c>
      <c r="E150" s="1" t="str" cm="1">
        <f t="array" ref="E150">IFERROR(time_diff_cor(Tabela1[[#This Row],[Largada]],Tabela1[[#This Row],[Chegada]]),"00:20:00:000")</f>
        <v>00:20:00:000</v>
      </c>
      <c r="F150" s="1" t="str" cm="1">
        <f t="array" ref="F150">IFERROR(time_diff(Tabela1[[#This Row],[TEMPO]],E149),"00:00:00:000")</f>
        <v>00:00:00:00</v>
      </c>
      <c r="G150" s="1" t="str" cm="1">
        <f t="array" aca="1" ref="G150" ca="1">IF(Tabela1[[#This Row],[N°]]=D149,time_sum(Tabela1[[#This Row],[TEMPO]],E149),Tabela1[[#This Row],[TEMPO]])</f>
        <v>00:40:00:000</v>
      </c>
      <c r="H150" s="1" t="e">
        <f>VLOOKUP(C150,LARGADA!A:B,2,FALSE)</f>
        <v>#N/A</v>
      </c>
      <c r="I150" s="1" t="e">
        <f>VLOOKUP(C150,CHEGADA!A:B,2,FALSE)</f>
        <v>#N/A</v>
      </c>
    </row>
    <row r="151" spans="4:9">
      <c r="D151" s="2" t="str">
        <f>IFERROR(LEFT(Tabela1[[#This Row],[N°S]],LEN(Tabela1[[#This Row],[N°S]])-1),"")</f>
        <v/>
      </c>
      <c r="E151" s="1" t="str" cm="1">
        <f t="array" ref="E151">IFERROR(time_diff_cor(Tabela1[[#This Row],[Largada]],Tabela1[[#This Row],[Chegada]]),"00:20:00:000")</f>
        <v>00:20:00:000</v>
      </c>
      <c r="F151" s="1" t="str" cm="1">
        <f t="array" ref="F151">IFERROR(time_diff(Tabela1[[#This Row],[TEMPO]],E150),"00:00:00:000")</f>
        <v>00:00:00:00</v>
      </c>
      <c r="G151" s="1" t="str" cm="1">
        <f t="array" aca="1" ref="G151" ca="1">IF(Tabela1[[#This Row],[N°]]=D150,time_sum(Tabela1[[#This Row],[TEMPO]],E150),Tabela1[[#This Row],[TEMPO]])</f>
        <v>00:40:00:000</v>
      </c>
      <c r="H151" s="1" t="e">
        <f>VLOOKUP(C151,LARGADA!A:B,2,FALSE)</f>
        <v>#N/A</v>
      </c>
      <c r="I151" s="1" t="e">
        <f>VLOOKUP(C151,CHEGADA!A:B,2,FALSE)</f>
        <v>#N/A</v>
      </c>
    </row>
    <row r="152" spans="4:9">
      <c r="D152" s="2" t="str">
        <f>IFERROR(LEFT(Tabela1[[#This Row],[N°S]],LEN(Tabela1[[#This Row],[N°S]])-1),"")</f>
        <v/>
      </c>
      <c r="E152" s="1" t="str" cm="1">
        <f t="array" ref="E152">IFERROR(time_diff_cor(Tabela1[[#This Row],[Largada]],Tabela1[[#This Row],[Chegada]]),"00:20:00:000")</f>
        <v>00:20:00:000</v>
      </c>
      <c r="F152" s="1" t="str" cm="1">
        <f t="array" ref="F152">IFERROR(time_diff(Tabela1[[#This Row],[TEMPO]],E151),"00:00:00:000")</f>
        <v>00:00:00:00</v>
      </c>
      <c r="G152" s="1" t="str" cm="1">
        <f t="array" aca="1" ref="G152" ca="1">IF(Tabela1[[#This Row],[N°]]=D151,time_sum(Tabela1[[#This Row],[TEMPO]],E151),Tabela1[[#This Row],[TEMPO]])</f>
        <v>00:40:00:000</v>
      </c>
      <c r="H152" s="1" t="e">
        <f>VLOOKUP(C152,LARGADA!A:B,2,FALSE)</f>
        <v>#N/A</v>
      </c>
      <c r="I152" s="1" t="e">
        <f>VLOOKUP(C152,CHEGADA!A:B,2,FALSE)</f>
        <v>#N/A</v>
      </c>
    </row>
    <row r="153" spans="4:9">
      <c r="D153" s="2" t="str">
        <f>IFERROR(LEFT(Tabela1[[#This Row],[N°S]],LEN(Tabela1[[#This Row],[N°S]])-1),"")</f>
        <v/>
      </c>
      <c r="E153" s="1" t="str" cm="1">
        <f t="array" ref="E153">IFERROR(time_diff_cor(Tabela1[[#This Row],[Largada]],Tabela1[[#This Row],[Chegada]]),"00:20:00:000")</f>
        <v>00:20:00:000</v>
      </c>
      <c r="F153" s="1" t="str" cm="1">
        <f t="array" ref="F153">IFERROR(time_diff(Tabela1[[#This Row],[TEMPO]],E152),"00:00:00:000")</f>
        <v>00:00:00:00</v>
      </c>
      <c r="G153" s="1" t="str" cm="1">
        <f t="array" aca="1" ref="G153" ca="1">IF(Tabela1[[#This Row],[N°]]=D152,time_sum(Tabela1[[#This Row],[TEMPO]],E152),Tabela1[[#This Row],[TEMPO]])</f>
        <v>00:40:00:000</v>
      </c>
      <c r="H153" s="1" t="e">
        <f>VLOOKUP(C153,LARGADA!A:B,2,FALSE)</f>
        <v>#N/A</v>
      </c>
      <c r="I153" s="1" t="e">
        <f>VLOOKUP(C153,CHEGADA!A:B,2,FALSE)</f>
        <v>#N/A</v>
      </c>
    </row>
    <row r="154" spans="4:9">
      <c r="D154" s="2" t="str">
        <f>IFERROR(LEFT(Tabela1[[#This Row],[N°S]],LEN(Tabela1[[#This Row],[N°S]])-1),"")</f>
        <v/>
      </c>
      <c r="E154" s="1" t="str" cm="1">
        <f t="array" ref="E154">IFERROR(time_diff_cor(Tabela1[[#This Row],[Largada]],Tabela1[[#This Row],[Chegada]]),"00:20:00:000")</f>
        <v>00:20:00:000</v>
      </c>
      <c r="F154" s="1" t="str" cm="1">
        <f t="array" ref="F154">IFERROR(time_diff(Tabela1[[#This Row],[TEMPO]],E153),"00:00:00:000")</f>
        <v>00:00:00:00</v>
      </c>
      <c r="G154" s="1" t="str" cm="1">
        <f t="array" aca="1" ref="G154" ca="1">IF(Tabela1[[#This Row],[N°]]=D153,time_sum(Tabela1[[#This Row],[TEMPO]],E153),Tabela1[[#This Row],[TEMPO]])</f>
        <v>00:40:00:000</v>
      </c>
      <c r="H154" s="1" t="e">
        <f>VLOOKUP(C154,LARGADA!A:B,2,FALSE)</f>
        <v>#N/A</v>
      </c>
      <c r="I154" s="1" t="e">
        <f>VLOOKUP(C154,CHEGADA!A:B,2,FALSE)</f>
        <v>#N/A</v>
      </c>
    </row>
    <row r="155" spans="4:9">
      <c r="D155" s="2" t="str">
        <f>IFERROR(LEFT(Tabela1[[#This Row],[N°S]],LEN(Tabela1[[#This Row],[N°S]])-1),"")</f>
        <v/>
      </c>
      <c r="E155" s="1" t="str" cm="1">
        <f t="array" ref="E155">IFERROR(time_diff_cor(Tabela1[[#This Row],[Largada]],Tabela1[[#This Row],[Chegada]]),"00:20:00:000")</f>
        <v>00:20:00:000</v>
      </c>
      <c r="F155" s="1" t="str" cm="1">
        <f t="array" ref="F155">IFERROR(time_diff(Tabela1[[#This Row],[TEMPO]],E154),"00:00:00:000")</f>
        <v>00:00:00:00</v>
      </c>
      <c r="G155" s="1" t="str" cm="1">
        <f t="array" aca="1" ref="G155" ca="1">IF(Tabela1[[#This Row],[N°]]=D154,time_sum(Tabela1[[#This Row],[TEMPO]],E154),Tabela1[[#This Row],[TEMPO]])</f>
        <v>00:40:00:000</v>
      </c>
      <c r="H155" s="1" t="e">
        <f>VLOOKUP(C155,LARGADA!A:B,2,FALSE)</f>
        <v>#N/A</v>
      </c>
      <c r="I155" s="1" t="e">
        <f>VLOOKUP(C155,CHEGADA!A:B,2,FALSE)</f>
        <v>#N/A</v>
      </c>
    </row>
    <row r="156" spans="4:9">
      <c r="D156" s="2" t="str">
        <f>IFERROR(LEFT(Tabela1[[#This Row],[N°S]],LEN(Tabela1[[#This Row],[N°S]])-1),"")</f>
        <v/>
      </c>
      <c r="E156" s="1" t="str" cm="1">
        <f t="array" ref="E156">IFERROR(time_diff_cor(Tabela1[[#This Row],[Largada]],Tabela1[[#This Row],[Chegada]]),"00:20:00:000")</f>
        <v>00:20:00:000</v>
      </c>
      <c r="F156" s="1" t="str" cm="1">
        <f t="array" ref="F156">IFERROR(time_diff(Tabela1[[#This Row],[TEMPO]],E155),"00:00:00:000")</f>
        <v>00:00:00:00</v>
      </c>
      <c r="G156" s="1" t="str" cm="1">
        <f t="array" aca="1" ref="G156" ca="1">IF(Tabela1[[#This Row],[N°]]=D155,time_sum(Tabela1[[#This Row],[TEMPO]],E155),Tabela1[[#This Row],[TEMPO]])</f>
        <v>00:40:00:000</v>
      </c>
      <c r="H156" s="1" t="e">
        <f>VLOOKUP(C156,LARGADA!A:B,2,FALSE)</f>
        <v>#N/A</v>
      </c>
      <c r="I156" s="1" t="e">
        <f>VLOOKUP(C156,CHEGADA!A:B,2,FALSE)</f>
        <v>#N/A</v>
      </c>
    </row>
    <row r="157" spans="4:9">
      <c r="D157" s="2" t="str">
        <f>IFERROR(LEFT(Tabela1[[#This Row],[N°S]],LEN(Tabela1[[#This Row],[N°S]])-1),"")</f>
        <v/>
      </c>
      <c r="E157" s="1" t="str" cm="1">
        <f t="array" ref="E157">IFERROR(time_diff_cor(Tabela1[[#This Row],[Largada]],Tabela1[[#This Row],[Chegada]]),"00:20:00:000")</f>
        <v>00:20:00:000</v>
      </c>
      <c r="F157" s="1" t="str" cm="1">
        <f t="array" ref="F157">IFERROR(time_diff(Tabela1[[#This Row],[TEMPO]],E156),"00:00:00:000")</f>
        <v>00:00:00:00</v>
      </c>
      <c r="G157" s="1" t="str" cm="1">
        <f t="array" aca="1" ref="G157" ca="1">IF(Tabela1[[#This Row],[N°]]=D156,time_sum(Tabela1[[#This Row],[TEMPO]],E156),Tabela1[[#This Row],[TEMPO]])</f>
        <v>00:40:00:000</v>
      </c>
      <c r="H157" s="1" t="e">
        <f>VLOOKUP(C157,LARGADA!A:B,2,FALSE)</f>
        <v>#N/A</v>
      </c>
      <c r="I157" s="1" t="e">
        <f>VLOOKUP(C157,CHEGADA!A:B,2,FALSE)</f>
        <v>#N/A</v>
      </c>
    </row>
    <row r="158" spans="4:9">
      <c r="D158" s="2" t="str">
        <f>IFERROR(LEFT(Tabela1[[#This Row],[N°S]],LEN(Tabela1[[#This Row],[N°S]])-1),"")</f>
        <v/>
      </c>
      <c r="E158" s="1" t="str" cm="1">
        <f t="array" ref="E158">IFERROR(time_diff_cor(Tabela1[[#This Row],[Largada]],Tabela1[[#This Row],[Chegada]]),"00:20:00:000")</f>
        <v>00:20:00:000</v>
      </c>
      <c r="F158" s="1" t="str" cm="1">
        <f t="array" ref="F158">IFERROR(time_diff(Tabela1[[#This Row],[TEMPO]],E157),"00:00:00:000")</f>
        <v>00:00:00:00</v>
      </c>
      <c r="G158" s="1" t="str" cm="1">
        <f t="array" aca="1" ref="G158" ca="1">IF(Tabela1[[#This Row],[N°]]=D157,time_sum(Tabela1[[#This Row],[TEMPO]],E157),Tabela1[[#This Row],[TEMPO]])</f>
        <v>00:40:00:000</v>
      </c>
      <c r="H158" s="1" t="e">
        <f>VLOOKUP(C158,LARGADA!A:B,2,FALSE)</f>
        <v>#N/A</v>
      </c>
      <c r="I158" s="1" t="e">
        <f>VLOOKUP(C158,CHEGADA!A:B,2,FALSE)</f>
        <v>#N/A</v>
      </c>
    </row>
    <row r="159" spans="4:9">
      <c r="D159" s="2" t="str">
        <f>IFERROR(LEFT(Tabela1[[#This Row],[N°S]],LEN(Tabela1[[#This Row],[N°S]])-1),"")</f>
        <v/>
      </c>
      <c r="E159" s="1" t="str" cm="1">
        <f t="array" ref="E159">IFERROR(time_diff_cor(Tabela1[[#This Row],[Largada]],Tabela1[[#This Row],[Chegada]]),"00:20:00:000")</f>
        <v>00:20:00:000</v>
      </c>
      <c r="F159" s="1" t="str" cm="1">
        <f t="array" ref="F159">IFERROR(time_diff(Tabela1[[#This Row],[TEMPO]],E158),"00:00:00:000")</f>
        <v>00:00:00:00</v>
      </c>
      <c r="G159" s="1" t="str" cm="1">
        <f t="array" aca="1" ref="G159" ca="1">IF(Tabela1[[#This Row],[N°]]=D158,time_sum(Tabela1[[#This Row],[TEMPO]],E158),Tabela1[[#This Row],[TEMPO]])</f>
        <v>00:40:00:000</v>
      </c>
      <c r="H159" s="1" t="e">
        <f>VLOOKUP(C159,LARGADA!A:B,2,FALSE)</f>
        <v>#N/A</v>
      </c>
      <c r="I159" s="1" t="e">
        <f>VLOOKUP(C159,CHEGADA!A:B,2,FALSE)</f>
        <v>#N/A</v>
      </c>
    </row>
    <row r="160" spans="4:9">
      <c r="D160" s="2" t="str">
        <f>IFERROR(LEFT(Tabela1[[#This Row],[N°S]],LEN(Tabela1[[#This Row],[N°S]])-1),"")</f>
        <v/>
      </c>
      <c r="E160" s="1" t="str" cm="1">
        <f t="array" ref="E160">IFERROR(time_diff_cor(Tabela1[[#This Row],[Largada]],Tabela1[[#This Row],[Chegada]]),"00:20:00:000")</f>
        <v>00:20:00:000</v>
      </c>
      <c r="F160" s="1" t="str" cm="1">
        <f t="array" ref="F160">IFERROR(time_diff(Tabela1[[#This Row],[TEMPO]],E159),"00:00:00:000")</f>
        <v>00:00:00:00</v>
      </c>
      <c r="G160" s="1" t="str" cm="1">
        <f t="array" aca="1" ref="G160" ca="1">IF(Tabela1[[#This Row],[N°]]=D159,time_sum(Tabela1[[#This Row],[TEMPO]],E159),Tabela1[[#This Row],[TEMPO]])</f>
        <v>00:40:00:000</v>
      </c>
      <c r="H160" s="1" t="e">
        <f>VLOOKUP(C160,LARGADA!A:B,2,FALSE)</f>
        <v>#N/A</v>
      </c>
      <c r="I160" s="1" t="e">
        <f>VLOOKUP(C160,CHEGADA!A:B,2,FALSE)</f>
        <v>#N/A</v>
      </c>
    </row>
    <row r="161" spans="4:9">
      <c r="D161" s="2" t="str">
        <f>IFERROR(LEFT(Tabela1[[#This Row],[N°S]],LEN(Tabela1[[#This Row],[N°S]])-1),"")</f>
        <v/>
      </c>
      <c r="E161" s="1" t="str" cm="1">
        <f t="array" ref="E161">IFERROR(time_diff_cor(Tabela1[[#This Row],[Largada]],Tabela1[[#This Row],[Chegada]]),"00:20:00:000")</f>
        <v>00:20:00:000</v>
      </c>
      <c r="F161" s="1" t="str" cm="1">
        <f t="array" ref="F161">IFERROR(time_diff(Tabela1[[#This Row],[TEMPO]],E160),"00:00:00:000")</f>
        <v>00:00:00:00</v>
      </c>
      <c r="G161" s="1" t="str" cm="1">
        <f t="array" aca="1" ref="G161" ca="1">IF(Tabela1[[#This Row],[N°]]=D160,time_sum(Tabela1[[#This Row],[TEMPO]],E160),Tabela1[[#This Row],[TEMPO]])</f>
        <v>00:40:00:000</v>
      </c>
      <c r="H161" s="1" t="e">
        <f>VLOOKUP(C161,LARGADA!A:B,2,FALSE)</f>
        <v>#N/A</v>
      </c>
      <c r="I161" s="1" t="e">
        <f>VLOOKUP(C161,CHEGADA!A:B,2,FALSE)</f>
        <v>#N/A</v>
      </c>
    </row>
    <row r="162" spans="4:9">
      <c r="D162" s="2" t="str">
        <f>IFERROR(LEFT(Tabela1[[#This Row],[N°S]],LEN(Tabela1[[#This Row],[N°S]])-1),"")</f>
        <v/>
      </c>
      <c r="E162" s="1" t="str" cm="1">
        <f t="array" ref="E162">IFERROR(time_diff_cor(Tabela1[[#This Row],[Largada]],Tabela1[[#This Row],[Chegada]]),"00:20:00:000")</f>
        <v>00:20:00:000</v>
      </c>
      <c r="F162" s="1" t="str" cm="1">
        <f t="array" ref="F162">IFERROR(time_diff(Tabela1[[#This Row],[TEMPO]],E161),"00:00:00:000")</f>
        <v>00:00:00:00</v>
      </c>
      <c r="G162" s="1" t="str" cm="1">
        <f t="array" aca="1" ref="G162" ca="1">IF(Tabela1[[#This Row],[N°]]=D161,time_sum(Tabela1[[#This Row],[TEMPO]],E161),Tabela1[[#This Row],[TEMPO]])</f>
        <v>00:40:00:000</v>
      </c>
      <c r="H162" s="1" t="e">
        <f>VLOOKUP(C162,LARGADA!A:B,2,FALSE)</f>
        <v>#N/A</v>
      </c>
      <c r="I162" s="1" t="e">
        <f>VLOOKUP(C162,CHEGADA!A:B,2,FALSE)</f>
        <v>#N/A</v>
      </c>
    </row>
    <row r="163" spans="4:9">
      <c r="D163" s="2" t="str">
        <f>IFERROR(LEFT(Tabela1[[#This Row],[N°S]],LEN(Tabela1[[#This Row],[N°S]])-1),"")</f>
        <v/>
      </c>
      <c r="E163" s="1" t="str" cm="1">
        <f t="array" ref="E163">IFERROR(time_diff_cor(Tabela1[[#This Row],[Largada]],Tabela1[[#This Row],[Chegada]]),"00:20:00:000")</f>
        <v>00:20:00:000</v>
      </c>
      <c r="F163" s="1" t="str" cm="1">
        <f t="array" ref="F163">IFERROR(time_diff(Tabela1[[#This Row],[TEMPO]],E162),"00:00:00:000")</f>
        <v>00:00:00:00</v>
      </c>
      <c r="G163" s="1" t="str" cm="1">
        <f t="array" aca="1" ref="G163" ca="1">IF(Tabela1[[#This Row],[N°]]=D162,time_sum(Tabela1[[#This Row],[TEMPO]],E162),Tabela1[[#This Row],[TEMPO]])</f>
        <v>00:40:00:000</v>
      </c>
      <c r="H163" s="1" t="e">
        <f>VLOOKUP(C163,LARGADA!A:B,2,FALSE)</f>
        <v>#N/A</v>
      </c>
      <c r="I163" s="1" t="e">
        <f>VLOOKUP(C163,CHEGADA!A:B,2,FALSE)</f>
        <v>#N/A</v>
      </c>
    </row>
    <row r="164" spans="4:9">
      <c r="D164" s="2" t="str">
        <f>IFERROR(LEFT(Tabela1[[#This Row],[N°S]],LEN(Tabela1[[#This Row],[N°S]])-1),"")</f>
        <v/>
      </c>
      <c r="E164" s="1" t="str" cm="1">
        <f t="array" ref="E164">IFERROR(time_diff_cor(Tabela1[[#This Row],[Largada]],Tabela1[[#This Row],[Chegada]]),"00:20:00:000")</f>
        <v>00:20:00:000</v>
      </c>
      <c r="F164" s="1" t="str" cm="1">
        <f t="array" ref="F164">IFERROR(time_diff(Tabela1[[#This Row],[TEMPO]],E163),"00:00:00:000")</f>
        <v>00:00:00:00</v>
      </c>
      <c r="G164" s="1" t="str" cm="1">
        <f t="array" aca="1" ref="G164" ca="1">IF(Tabela1[[#This Row],[N°]]=D163,time_sum(Tabela1[[#This Row],[TEMPO]],E163),Tabela1[[#This Row],[TEMPO]])</f>
        <v>00:40:00:000</v>
      </c>
      <c r="H164" s="1" t="e">
        <f>VLOOKUP(C164,LARGADA!A:B,2,FALSE)</f>
        <v>#N/A</v>
      </c>
      <c r="I164" s="1" t="e">
        <f>VLOOKUP(C164,CHEGADA!A:B,2,FALSE)</f>
        <v>#N/A</v>
      </c>
    </row>
    <row r="165" spans="4:9">
      <c r="D165" s="2" t="str">
        <f>IFERROR(LEFT(Tabela1[[#This Row],[N°S]],LEN(Tabela1[[#This Row],[N°S]])-1),"")</f>
        <v/>
      </c>
      <c r="E165" s="1" t="str" cm="1">
        <f t="array" ref="E165">IFERROR(time_diff_cor(Tabela1[[#This Row],[Largada]],Tabela1[[#This Row],[Chegada]]),"00:20:00:000")</f>
        <v>00:20:00:000</v>
      </c>
      <c r="F165" s="1" t="str" cm="1">
        <f t="array" ref="F165">IFERROR(time_diff(Tabela1[[#This Row],[TEMPO]],E164),"00:00:00:000")</f>
        <v>00:00:00:00</v>
      </c>
      <c r="G165" s="1" t="str" cm="1">
        <f t="array" aca="1" ref="G165" ca="1">IF(Tabela1[[#This Row],[N°]]=D164,time_sum(Tabela1[[#This Row],[TEMPO]],E164),Tabela1[[#This Row],[TEMPO]])</f>
        <v>00:40:00:000</v>
      </c>
      <c r="H165" s="1" t="e">
        <f>VLOOKUP(C165,LARGADA!A:B,2,FALSE)</f>
        <v>#N/A</v>
      </c>
      <c r="I165" s="1" t="e">
        <f>VLOOKUP(C165,CHEGADA!A:B,2,FALSE)</f>
        <v>#N/A</v>
      </c>
    </row>
    <row r="166" spans="4:9">
      <c r="D166" s="2" t="str">
        <f>IFERROR(LEFT(Tabela1[[#This Row],[N°S]],LEN(Tabela1[[#This Row],[N°S]])-1),"")</f>
        <v/>
      </c>
      <c r="E166" s="1" t="str" cm="1">
        <f t="array" ref="E166">IFERROR(time_diff_cor(Tabela1[[#This Row],[Largada]],Tabela1[[#This Row],[Chegada]]),"00:20:00:000")</f>
        <v>00:20:00:000</v>
      </c>
      <c r="F166" s="1" t="str" cm="1">
        <f t="array" ref="F166">IFERROR(time_diff(Tabela1[[#This Row],[TEMPO]],E165),"00:00:00:000")</f>
        <v>00:00:00:00</v>
      </c>
      <c r="G166" s="1" t="str" cm="1">
        <f t="array" aca="1" ref="G166" ca="1">IF(Tabela1[[#This Row],[N°]]=D165,time_sum(Tabela1[[#This Row],[TEMPO]],E165),Tabela1[[#This Row],[TEMPO]])</f>
        <v>00:40:00:000</v>
      </c>
      <c r="H166" s="1" t="e">
        <f>VLOOKUP(C166,LARGADA!A:B,2,FALSE)</f>
        <v>#N/A</v>
      </c>
      <c r="I166" s="1" t="e">
        <f>VLOOKUP(C166,CHEGADA!A:B,2,FALSE)</f>
        <v>#N/A</v>
      </c>
    </row>
    <row r="167" spans="4:9">
      <c r="D167" s="2" t="str">
        <f>IFERROR(LEFT(Tabela1[[#This Row],[N°S]],LEN(Tabela1[[#This Row],[N°S]])-1),"")</f>
        <v/>
      </c>
      <c r="E167" s="1" t="str" cm="1">
        <f t="array" ref="E167">IFERROR(time_diff_cor(Tabela1[[#This Row],[Largada]],Tabela1[[#This Row],[Chegada]]),"00:20:00:000")</f>
        <v>00:20:00:000</v>
      </c>
      <c r="F167" s="1" t="str" cm="1">
        <f t="array" ref="F167">IFERROR(time_diff(Tabela1[[#This Row],[TEMPO]],E166),"00:00:00:000")</f>
        <v>00:00:00:00</v>
      </c>
      <c r="G167" s="1" t="str" cm="1">
        <f t="array" aca="1" ref="G167" ca="1">IF(Tabela1[[#This Row],[N°]]=D166,time_sum(Tabela1[[#This Row],[TEMPO]],E166),Tabela1[[#This Row],[TEMPO]])</f>
        <v>00:40:00:000</v>
      </c>
      <c r="H167" s="1" t="e">
        <f>VLOOKUP(C167,LARGADA!A:B,2,FALSE)</f>
        <v>#N/A</v>
      </c>
      <c r="I167" s="1" t="e">
        <f>VLOOKUP(C167,CHEGADA!A:B,2,FALSE)</f>
        <v>#N/A</v>
      </c>
    </row>
    <row r="168" spans="4:9">
      <c r="D168" s="2" t="str">
        <f>IFERROR(LEFT(Tabela1[[#This Row],[N°S]],LEN(Tabela1[[#This Row],[N°S]])-1),"")</f>
        <v/>
      </c>
      <c r="E168" s="1" t="str" cm="1">
        <f t="array" ref="E168">IFERROR(time_diff_cor(Tabela1[[#This Row],[Largada]],Tabela1[[#This Row],[Chegada]]),"00:20:00:000")</f>
        <v>00:20:00:000</v>
      </c>
      <c r="F168" s="1" t="str" cm="1">
        <f t="array" ref="F168">IFERROR(time_diff(Tabela1[[#This Row],[TEMPO]],E167),"00:00:00:000")</f>
        <v>00:00:00:00</v>
      </c>
      <c r="G168" s="1" t="str" cm="1">
        <f t="array" aca="1" ref="G168" ca="1">IF(Tabela1[[#This Row],[N°]]=D167,time_sum(Tabela1[[#This Row],[TEMPO]],E167),Tabela1[[#This Row],[TEMPO]])</f>
        <v>00:40:00:000</v>
      </c>
      <c r="H168" s="1" t="e">
        <f>VLOOKUP(C168,LARGADA!A:B,2,FALSE)</f>
        <v>#N/A</v>
      </c>
      <c r="I168" s="1" t="e">
        <f>VLOOKUP(C168,CHEGADA!A:B,2,FALSE)</f>
        <v>#N/A</v>
      </c>
    </row>
    <row r="169" spans="4:9">
      <c r="D169" s="2" t="str">
        <f>IFERROR(LEFT(Tabela1[[#This Row],[N°S]],LEN(Tabela1[[#This Row],[N°S]])-1),"")</f>
        <v/>
      </c>
      <c r="E169" s="1" t="str" cm="1">
        <f t="array" ref="E169">IFERROR(time_diff_cor(Tabela1[[#This Row],[Largada]],Tabela1[[#This Row],[Chegada]]),"00:20:00:000")</f>
        <v>00:20:00:000</v>
      </c>
      <c r="F169" s="1" t="str" cm="1">
        <f t="array" ref="F169">IFERROR(time_diff(Tabela1[[#This Row],[TEMPO]],E168),"00:00:00:000")</f>
        <v>00:00:00:00</v>
      </c>
      <c r="G169" s="1" t="str" cm="1">
        <f t="array" aca="1" ref="G169" ca="1">IF(Tabela1[[#This Row],[N°]]=D168,time_sum(Tabela1[[#This Row],[TEMPO]],E168),Tabela1[[#This Row],[TEMPO]])</f>
        <v>00:40:00:000</v>
      </c>
      <c r="H169" s="1" t="e">
        <f>VLOOKUP(C169,LARGADA!A:B,2,FALSE)</f>
        <v>#N/A</v>
      </c>
      <c r="I169" s="1" t="e">
        <f>VLOOKUP(C169,CHEGADA!A:B,2,FALSE)</f>
        <v>#N/A</v>
      </c>
    </row>
    <row r="170" spans="4:9">
      <c r="D170" s="2" t="str">
        <f>IFERROR(LEFT(Tabela1[[#This Row],[N°S]],LEN(Tabela1[[#This Row],[N°S]])-1),"")</f>
        <v/>
      </c>
      <c r="E170" s="1" t="str" cm="1">
        <f t="array" ref="E170">IFERROR(time_diff_cor(Tabela1[[#This Row],[Largada]],Tabela1[[#This Row],[Chegada]]),"00:20:00:000")</f>
        <v>00:20:00:000</v>
      </c>
      <c r="F170" s="1" t="str" cm="1">
        <f t="array" ref="F170">IFERROR(time_diff(Tabela1[[#This Row],[TEMPO]],E169),"00:00:00:000")</f>
        <v>00:00:00:00</v>
      </c>
      <c r="G170" s="1" t="str" cm="1">
        <f t="array" aca="1" ref="G170" ca="1">IF(Tabela1[[#This Row],[N°]]=D169,time_sum(Tabela1[[#This Row],[TEMPO]],E169),Tabela1[[#This Row],[TEMPO]])</f>
        <v>00:40:00:000</v>
      </c>
      <c r="H170" s="1" t="e">
        <f>VLOOKUP(C170,LARGADA!A:B,2,FALSE)</f>
        <v>#N/A</v>
      </c>
      <c r="I170" s="1" t="e">
        <f>VLOOKUP(C170,CHEGADA!A:B,2,FALSE)</f>
        <v>#N/A</v>
      </c>
    </row>
    <row r="171" spans="4:9">
      <c r="D171" s="2" t="str">
        <f>IFERROR(LEFT(Tabela1[[#This Row],[N°S]],LEN(Tabela1[[#This Row],[N°S]])-1),"")</f>
        <v/>
      </c>
      <c r="E171" s="1" t="str" cm="1">
        <f t="array" ref="E171">IFERROR(time_diff_cor(Tabela1[[#This Row],[Largada]],Tabela1[[#This Row],[Chegada]]),"00:20:00:000")</f>
        <v>00:20:00:000</v>
      </c>
      <c r="F171" s="1" t="str" cm="1">
        <f t="array" ref="F171">IFERROR(time_diff(Tabela1[[#This Row],[TEMPO]],E170),"00:00:00:000")</f>
        <v>00:00:00:00</v>
      </c>
      <c r="G171" s="1" t="str" cm="1">
        <f t="array" aca="1" ref="G171" ca="1">IF(Tabela1[[#This Row],[N°]]=D170,time_sum(Tabela1[[#This Row],[TEMPO]],E170),Tabela1[[#This Row],[TEMPO]])</f>
        <v>00:40:00:000</v>
      </c>
      <c r="H171" s="1" t="e">
        <f>VLOOKUP(C171,LARGADA!A:B,2,FALSE)</f>
        <v>#N/A</v>
      </c>
      <c r="I171" s="1" t="e">
        <f>VLOOKUP(C171,CHEGADA!A:B,2,FALSE)</f>
        <v>#N/A</v>
      </c>
    </row>
    <row r="172" spans="4:9">
      <c r="D172" s="2" t="str">
        <f>IFERROR(LEFT(Tabela1[[#This Row],[N°S]],LEN(Tabela1[[#This Row],[N°S]])-1),"")</f>
        <v/>
      </c>
      <c r="E172" s="1" t="str" cm="1">
        <f t="array" ref="E172">IFERROR(time_diff_cor(Tabela1[[#This Row],[Largada]],Tabela1[[#This Row],[Chegada]]),"00:20:00:000")</f>
        <v>00:20:00:000</v>
      </c>
      <c r="F172" s="1" t="str" cm="1">
        <f t="array" ref="F172">IFERROR(time_diff(Tabela1[[#This Row],[TEMPO]],E171),"00:00:00:000")</f>
        <v>00:00:00:00</v>
      </c>
      <c r="G172" s="1" t="str" cm="1">
        <f t="array" aca="1" ref="G172" ca="1">IF(Tabela1[[#This Row],[N°]]=D171,time_sum(Tabela1[[#This Row],[TEMPO]],E171),Tabela1[[#This Row],[TEMPO]])</f>
        <v>00:40:00:000</v>
      </c>
      <c r="H172" s="1" t="e">
        <f>VLOOKUP(C172,LARGADA!A:B,2,FALSE)</f>
        <v>#N/A</v>
      </c>
      <c r="I172" s="1" t="e">
        <f>VLOOKUP(C172,CHEGADA!A:B,2,FALSE)</f>
        <v>#N/A</v>
      </c>
    </row>
    <row r="173" spans="4:9">
      <c r="D173" s="2" t="str">
        <f>IFERROR(LEFT(Tabela1[[#This Row],[N°S]],LEN(Tabela1[[#This Row],[N°S]])-1),"")</f>
        <v/>
      </c>
      <c r="E173" s="1" t="str" cm="1">
        <f t="array" ref="E173">IFERROR(time_diff_cor(Tabela1[[#This Row],[Largada]],Tabela1[[#This Row],[Chegada]]),"00:20:00:000")</f>
        <v>00:20:00:000</v>
      </c>
      <c r="F173" s="1" t="str" cm="1">
        <f t="array" ref="F173">IFERROR(time_diff(Tabela1[[#This Row],[TEMPO]],E172),"00:00:00:000")</f>
        <v>00:00:00:00</v>
      </c>
      <c r="G173" s="1" t="str" cm="1">
        <f t="array" aca="1" ref="G173" ca="1">IF(Tabela1[[#This Row],[N°]]=D172,time_sum(Tabela1[[#This Row],[TEMPO]],E172),Tabela1[[#This Row],[TEMPO]])</f>
        <v>00:40:00:000</v>
      </c>
      <c r="H173" s="1" t="e">
        <f>VLOOKUP(C173,LARGADA!A:B,2,FALSE)</f>
        <v>#N/A</v>
      </c>
      <c r="I173" s="1" t="e">
        <f>VLOOKUP(C173,CHEGADA!A:B,2,FALSE)</f>
        <v>#N/A</v>
      </c>
    </row>
    <row r="174" spans="4:9">
      <c r="D174" s="2" t="str">
        <f>IFERROR(LEFT(Tabela1[[#This Row],[N°S]],LEN(Tabela1[[#This Row],[N°S]])-1),"")</f>
        <v/>
      </c>
      <c r="E174" s="1" t="str" cm="1">
        <f t="array" ref="E174">IFERROR(time_diff_cor(Tabela1[[#This Row],[Largada]],Tabela1[[#This Row],[Chegada]]),"00:20:00:000")</f>
        <v>00:20:00:000</v>
      </c>
      <c r="F174" s="1" t="str" cm="1">
        <f t="array" ref="F174">IFERROR(time_diff(Tabela1[[#This Row],[TEMPO]],E173),"00:00:00:000")</f>
        <v>00:00:00:00</v>
      </c>
      <c r="G174" s="1" t="str" cm="1">
        <f t="array" aca="1" ref="G174" ca="1">IF(Tabela1[[#This Row],[N°]]=D173,time_sum(Tabela1[[#This Row],[TEMPO]],E173),Tabela1[[#This Row],[TEMPO]])</f>
        <v>00:40:00:000</v>
      </c>
      <c r="H174" s="1" t="e">
        <f>VLOOKUP(C174,LARGADA!A:B,2,FALSE)</f>
        <v>#N/A</v>
      </c>
      <c r="I174" s="1" t="e">
        <f>VLOOKUP(C174,CHEGADA!A:B,2,FALSE)</f>
        <v>#N/A</v>
      </c>
    </row>
    <row r="175" spans="4:9">
      <c r="D175" s="2" t="str">
        <f>IFERROR(LEFT(Tabela1[[#This Row],[N°S]],LEN(Tabela1[[#This Row],[N°S]])-1),"")</f>
        <v/>
      </c>
      <c r="E175" s="1" t="str" cm="1">
        <f t="array" ref="E175">IFERROR(time_diff_cor(Tabela1[[#This Row],[Largada]],Tabela1[[#This Row],[Chegada]]),"00:20:00:000")</f>
        <v>00:20:00:000</v>
      </c>
      <c r="F175" s="1" t="str" cm="1">
        <f t="array" ref="F175">IFERROR(time_diff(Tabela1[[#This Row],[TEMPO]],E174),"00:00:00:000")</f>
        <v>00:00:00:00</v>
      </c>
      <c r="G175" s="1" t="str" cm="1">
        <f t="array" aca="1" ref="G175" ca="1">IF(Tabela1[[#This Row],[N°]]=D174,time_sum(Tabela1[[#This Row],[TEMPO]],E174),Tabela1[[#This Row],[TEMPO]])</f>
        <v>00:40:00:000</v>
      </c>
      <c r="H175" s="1" t="e">
        <f>VLOOKUP(C175,LARGADA!A:B,2,FALSE)</f>
        <v>#N/A</v>
      </c>
      <c r="I175" s="1" t="e">
        <f>VLOOKUP(C175,CHEGADA!A:B,2,FALSE)</f>
        <v>#N/A</v>
      </c>
    </row>
    <row r="176" spans="4:9">
      <c r="D176" s="2" t="str">
        <f>IFERROR(LEFT(Tabela1[[#This Row],[N°S]],LEN(Tabela1[[#This Row],[N°S]])-1),"")</f>
        <v/>
      </c>
      <c r="E176" s="1" t="str" cm="1">
        <f t="array" ref="E176">IFERROR(time_diff_cor(Tabela1[[#This Row],[Largada]],Tabela1[[#This Row],[Chegada]]),"00:20:00:000")</f>
        <v>00:20:00:000</v>
      </c>
      <c r="F176" s="1" t="str" cm="1">
        <f t="array" ref="F176">IFERROR(time_diff(Tabela1[[#This Row],[TEMPO]],E175),"00:00:00:000")</f>
        <v>00:00:00:00</v>
      </c>
      <c r="G176" s="1" t="str" cm="1">
        <f t="array" aca="1" ref="G176" ca="1">IF(Tabela1[[#This Row],[N°]]=D175,time_sum(Tabela1[[#This Row],[TEMPO]],E175),Tabela1[[#This Row],[TEMPO]])</f>
        <v>00:40:00:000</v>
      </c>
      <c r="H176" s="1" t="e">
        <f>VLOOKUP(C176,LARGADA!A:B,2,FALSE)</f>
        <v>#N/A</v>
      </c>
      <c r="I176" s="1" t="e">
        <f>VLOOKUP(C176,CHEGADA!A:B,2,FALSE)</f>
        <v>#N/A</v>
      </c>
    </row>
    <row r="177" spans="4:9">
      <c r="D177" s="2" t="str">
        <f>IFERROR(LEFT(Tabela1[[#This Row],[N°S]],LEN(Tabela1[[#This Row],[N°S]])-1),"")</f>
        <v/>
      </c>
      <c r="E177" s="1" t="str" cm="1">
        <f t="array" ref="E177">IFERROR(time_diff_cor(Tabela1[[#This Row],[Largada]],Tabela1[[#This Row],[Chegada]]),"00:20:00:000")</f>
        <v>00:20:00:000</v>
      </c>
      <c r="F177" s="1" t="str" cm="1">
        <f t="array" ref="F177">IFERROR(time_diff(Tabela1[[#This Row],[TEMPO]],E176),"00:00:00:000")</f>
        <v>00:00:00:00</v>
      </c>
      <c r="G177" s="1" t="str" cm="1">
        <f t="array" aca="1" ref="G177" ca="1">IF(Tabela1[[#This Row],[N°]]=D176,time_sum(Tabela1[[#This Row],[TEMPO]],E176),Tabela1[[#This Row],[TEMPO]])</f>
        <v>00:40:00:000</v>
      </c>
      <c r="H177" s="1" t="e">
        <f>VLOOKUP(C177,LARGADA!A:B,2,FALSE)</f>
        <v>#N/A</v>
      </c>
      <c r="I177" s="1" t="e">
        <f>VLOOKUP(C177,CHEGADA!A:B,2,FALSE)</f>
        <v>#N/A</v>
      </c>
    </row>
    <row r="178" spans="4:9">
      <c r="D178" s="2" t="str">
        <f>IFERROR(LEFT(Tabela1[[#This Row],[N°S]],LEN(Tabela1[[#This Row],[N°S]])-1),"")</f>
        <v/>
      </c>
      <c r="E178" s="1" t="str" cm="1">
        <f t="array" ref="E178">IFERROR(time_diff_cor(Tabela1[[#This Row],[Largada]],Tabela1[[#This Row],[Chegada]]),"00:20:00:000")</f>
        <v>00:20:00:000</v>
      </c>
      <c r="F178" s="1" t="str" cm="1">
        <f t="array" ref="F178">IFERROR(time_diff(Tabela1[[#This Row],[TEMPO]],E177),"00:00:00:000")</f>
        <v>00:00:00:00</v>
      </c>
      <c r="G178" s="1" t="str" cm="1">
        <f t="array" aca="1" ref="G178" ca="1">IF(Tabela1[[#This Row],[N°]]=D177,time_sum(Tabela1[[#This Row],[TEMPO]],E177),Tabela1[[#This Row],[TEMPO]])</f>
        <v>00:40:00:000</v>
      </c>
      <c r="H178" s="1" t="e">
        <f>VLOOKUP(C178,LARGADA!A:B,2,FALSE)</f>
        <v>#N/A</v>
      </c>
      <c r="I178" s="1" t="e">
        <f>VLOOKUP(C178,CHEGADA!A:B,2,FALSE)</f>
        <v>#N/A</v>
      </c>
    </row>
    <row r="179" spans="4:9">
      <c r="D179" s="2" t="str">
        <f>IFERROR(LEFT(Tabela1[[#This Row],[N°S]],LEN(Tabela1[[#This Row],[N°S]])-1),"")</f>
        <v/>
      </c>
      <c r="E179" s="1" t="str" cm="1">
        <f t="array" ref="E179">IFERROR(time_diff_cor(Tabela1[[#This Row],[Largada]],Tabela1[[#This Row],[Chegada]]),"00:20:00:000")</f>
        <v>00:20:00:000</v>
      </c>
      <c r="F179" s="1" t="str" cm="1">
        <f t="array" ref="F179">IFERROR(time_diff(Tabela1[[#This Row],[TEMPO]],E178),"00:00:00:000")</f>
        <v>00:00:00:00</v>
      </c>
      <c r="G179" s="1" t="str" cm="1">
        <f t="array" aca="1" ref="G179" ca="1">IF(Tabela1[[#This Row],[N°]]=D178,time_sum(Tabela1[[#This Row],[TEMPO]],E178),Tabela1[[#This Row],[TEMPO]])</f>
        <v>00:40:00:000</v>
      </c>
      <c r="H179" s="1" t="e">
        <f>VLOOKUP(C179,LARGADA!A:B,2,FALSE)</f>
        <v>#N/A</v>
      </c>
      <c r="I179" s="1" t="e">
        <f>VLOOKUP(C179,CHEGADA!A:B,2,FALSE)</f>
        <v>#N/A</v>
      </c>
    </row>
    <row r="180" spans="4:9">
      <c r="D180" s="2" t="str">
        <f>IFERROR(LEFT(Tabela1[[#This Row],[N°S]],LEN(Tabela1[[#This Row],[N°S]])-1),"")</f>
        <v/>
      </c>
      <c r="E180" s="1" t="str" cm="1">
        <f t="array" ref="E180">IFERROR(time_diff_cor(Tabela1[[#This Row],[Largada]],Tabela1[[#This Row],[Chegada]]),"00:20:00:000")</f>
        <v>00:20:00:000</v>
      </c>
      <c r="F180" s="1" t="str" cm="1">
        <f t="array" ref="F180">IFERROR(time_diff(Tabela1[[#This Row],[TEMPO]],E179),"00:00:00:000")</f>
        <v>00:00:00:00</v>
      </c>
      <c r="G180" s="1" t="str" cm="1">
        <f t="array" aca="1" ref="G180" ca="1">IF(Tabela1[[#This Row],[N°]]=D179,time_sum(Tabela1[[#This Row],[TEMPO]],E179),Tabela1[[#This Row],[TEMPO]])</f>
        <v>00:40:00:000</v>
      </c>
      <c r="H180" s="1" t="e">
        <f>VLOOKUP(C180,LARGADA!A:B,2,FALSE)</f>
        <v>#N/A</v>
      </c>
      <c r="I180" s="1" t="e">
        <f>VLOOKUP(C180,CHEGADA!A:B,2,FALSE)</f>
        <v>#N/A</v>
      </c>
    </row>
    <row r="181" spans="4:9">
      <c r="D181" s="2" t="str">
        <f>IFERROR(LEFT(Tabela1[[#This Row],[N°S]],LEN(Tabela1[[#This Row],[N°S]])-1),"")</f>
        <v/>
      </c>
      <c r="E181" s="1" t="str" cm="1">
        <f t="array" ref="E181">IFERROR(time_diff_cor(Tabela1[[#This Row],[Largada]],Tabela1[[#This Row],[Chegada]]),"00:20:00:000")</f>
        <v>00:20:00:000</v>
      </c>
      <c r="F181" s="1" t="str" cm="1">
        <f t="array" ref="F181">IFERROR(time_diff(Tabela1[[#This Row],[TEMPO]],E180),"00:00:00:000")</f>
        <v>00:00:00:00</v>
      </c>
      <c r="G181" s="1" t="str" cm="1">
        <f t="array" aca="1" ref="G181" ca="1">IF(Tabela1[[#This Row],[N°]]=D180,time_sum(Tabela1[[#This Row],[TEMPO]],E180),Tabela1[[#This Row],[TEMPO]])</f>
        <v>00:40:00:000</v>
      </c>
      <c r="H181" s="1" t="e">
        <f>VLOOKUP(C181,LARGADA!A:B,2,FALSE)</f>
        <v>#N/A</v>
      </c>
      <c r="I181" s="1" t="e">
        <f>VLOOKUP(C181,CHEGADA!A:B,2,FALSE)</f>
        <v>#N/A</v>
      </c>
    </row>
    <row r="182" spans="4:9">
      <c r="D182" s="2" t="str">
        <f>IFERROR(LEFT(Tabela1[[#This Row],[N°S]],LEN(Tabela1[[#This Row],[N°S]])-1),"")</f>
        <v/>
      </c>
      <c r="E182" s="1" t="str" cm="1">
        <f t="array" ref="E182">IFERROR(time_diff_cor(Tabela1[[#This Row],[Largada]],Tabela1[[#This Row],[Chegada]]),"00:20:00:000")</f>
        <v>00:20:00:000</v>
      </c>
      <c r="F182" s="1" t="str" cm="1">
        <f t="array" ref="F182">IFERROR(time_diff(Tabela1[[#This Row],[TEMPO]],E181),"00:00:00:000")</f>
        <v>00:00:00:00</v>
      </c>
      <c r="G182" s="1" t="str" cm="1">
        <f t="array" aca="1" ref="G182" ca="1">IF(Tabela1[[#This Row],[N°]]=D181,time_sum(Tabela1[[#This Row],[TEMPO]],E181),Tabela1[[#This Row],[TEMPO]])</f>
        <v>00:40:00:000</v>
      </c>
      <c r="H182" s="1" t="e">
        <f>VLOOKUP(C182,LARGADA!A:B,2,FALSE)</f>
        <v>#N/A</v>
      </c>
      <c r="I182" s="1" t="e">
        <f>VLOOKUP(C182,CHEGADA!A:B,2,FALSE)</f>
        <v>#N/A</v>
      </c>
    </row>
    <row r="183" spans="4:9">
      <c r="D183" s="2" t="str">
        <f>IFERROR(LEFT(Tabela1[[#This Row],[N°S]],LEN(Tabela1[[#This Row],[N°S]])-1),"")</f>
        <v/>
      </c>
      <c r="E183" s="1" t="str" cm="1">
        <f t="array" ref="E183">IFERROR(time_diff_cor(Tabela1[[#This Row],[Largada]],Tabela1[[#This Row],[Chegada]]),"00:20:00:000")</f>
        <v>00:20:00:000</v>
      </c>
      <c r="F183" s="1" t="str" cm="1">
        <f t="array" ref="F183">IFERROR(time_diff(Tabela1[[#This Row],[TEMPO]],E182),"00:00:00:000")</f>
        <v>00:00:00:00</v>
      </c>
      <c r="G183" s="1" t="str" cm="1">
        <f t="array" aca="1" ref="G183" ca="1">IF(Tabela1[[#This Row],[N°]]=D182,time_sum(Tabela1[[#This Row],[TEMPO]],E182),Tabela1[[#This Row],[TEMPO]])</f>
        <v>00:40:00:000</v>
      </c>
      <c r="H183" s="1" t="e">
        <f>VLOOKUP(C183,LARGADA!A:B,2,FALSE)</f>
        <v>#N/A</v>
      </c>
      <c r="I183" s="1" t="e">
        <f>VLOOKUP(C183,CHEGADA!A:B,2,FALSE)</f>
        <v>#N/A</v>
      </c>
    </row>
    <row r="184" spans="4:9">
      <c r="D184" s="2" t="str">
        <f>IFERROR(LEFT(Tabela1[[#This Row],[N°S]],LEN(Tabela1[[#This Row],[N°S]])-1),"")</f>
        <v/>
      </c>
      <c r="E184" s="1" t="str" cm="1">
        <f t="array" ref="E184">IFERROR(time_diff_cor(Tabela1[[#This Row],[Largada]],Tabela1[[#This Row],[Chegada]]),"00:20:00:000")</f>
        <v>00:20:00:000</v>
      </c>
      <c r="F184" s="1" t="str" cm="1">
        <f t="array" ref="F184">IFERROR(time_diff(Tabela1[[#This Row],[TEMPO]],E183),"00:00:00:000")</f>
        <v>00:00:00:00</v>
      </c>
      <c r="G184" s="1" t="str" cm="1">
        <f t="array" aca="1" ref="G184" ca="1">IF(Tabela1[[#This Row],[N°]]=D183,time_sum(Tabela1[[#This Row],[TEMPO]],E183),Tabela1[[#This Row],[TEMPO]])</f>
        <v>00:40:00:000</v>
      </c>
      <c r="H184" s="1" t="e">
        <f>VLOOKUP(C184,LARGADA!A:B,2,FALSE)</f>
        <v>#N/A</v>
      </c>
      <c r="I184" s="1" t="e">
        <f>VLOOKUP(C184,CHEGADA!A:B,2,FALSE)</f>
        <v>#N/A</v>
      </c>
    </row>
    <row r="185" spans="4:9">
      <c r="D185" s="2" t="str">
        <f>IFERROR(LEFT(Tabela1[[#This Row],[N°S]],LEN(Tabela1[[#This Row],[N°S]])-1),"")</f>
        <v/>
      </c>
      <c r="E185" s="1" t="str" cm="1">
        <f t="array" ref="E185">IFERROR(time_diff_cor(Tabela1[[#This Row],[Largada]],Tabela1[[#This Row],[Chegada]]),"00:20:00:000")</f>
        <v>00:20:00:000</v>
      </c>
      <c r="F185" s="1" t="str" cm="1">
        <f t="array" ref="F185">IFERROR(time_diff(Tabela1[[#This Row],[TEMPO]],E184),"00:00:00:000")</f>
        <v>00:00:00:00</v>
      </c>
      <c r="G185" s="1" t="str" cm="1">
        <f t="array" aca="1" ref="G185" ca="1">IF(Tabela1[[#This Row],[N°]]=D184,time_sum(Tabela1[[#This Row],[TEMPO]],E184),Tabela1[[#This Row],[TEMPO]])</f>
        <v>00:40:00:000</v>
      </c>
      <c r="H185" s="1" t="e">
        <f>VLOOKUP(C185,LARGADA!A:B,2,FALSE)</f>
        <v>#N/A</v>
      </c>
      <c r="I185" s="1" t="e">
        <f>VLOOKUP(C185,CHEGADA!A:B,2,FALSE)</f>
        <v>#N/A</v>
      </c>
    </row>
    <row r="186" spans="4:9">
      <c r="D186" s="2" t="str">
        <f>IFERROR(LEFT(Tabela1[[#This Row],[N°S]],LEN(Tabela1[[#This Row],[N°S]])-1),"")</f>
        <v/>
      </c>
      <c r="E186" s="1" t="str" cm="1">
        <f t="array" ref="E186">IFERROR(time_diff_cor(Tabela1[[#This Row],[Largada]],Tabela1[[#This Row],[Chegada]]),"00:20:00:000")</f>
        <v>00:20:00:000</v>
      </c>
      <c r="F186" s="1" t="str" cm="1">
        <f t="array" ref="F186">IFERROR(time_diff(Tabela1[[#This Row],[TEMPO]],E185),"00:00:00:000")</f>
        <v>00:00:00:00</v>
      </c>
      <c r="G186" s="1" t="str" cm="1">
        <f t="array" aca="1" ref="G186" ca="1">IF(Tabela1[[#This Row],[N°]]=D185,time_sum(Tabela1[[#This Row],[TEMPO]],E185),Tabela1[[#This Row],[TEMPO]])</f>
        <v>00:40:00:000</v>
      </c>
      <c r="H186" s="1" t="e">
        <f>VLOOKUP(C186,LARGADA!A:B,2,FALSE)</f>
        <v>#N/A</v>
      </c>
      <c r="I186" s="1" t="e">
        <f>VLOOKUP(C186,CHEGADA!A:B,2,FALSE)</f>
        <v>#N/A</v>
      </c>
    </row>
    <row r="187" spans="4:9">
      <c r="D187" s="2" t="str">
        <f>IFERROR(LEFT(Tabela1[[#This Row],[N°S]],LEN(Tabela1[[#This Row],[N°S]])-1),"")</f>
        <v/>
      </c>
      <c r="E187" s="1" t="str" cm="1">
        <f t="array" ref="E187">IFERROR(time_diff_cor(Tabela1[[#This Row],[Largada]],Tabela1[[#This Row],[Chegada]]),"00:20:00:000")</f>
        <v>00:20:00:000</v>
      </c>
      <c r="F187" s="1" t="str" cm="1">
        <f t="array" ref="F187">IFERROR(time_diff(Tabela1[[#This Row],[TEMPO]],E186),"00:00:00:000")</f>
        <v>00:00:00:00</v>
      </c>
      <c r="G187" s="1" t="str" cm="1">
        <f t="array" aca="1" ref="G187" ca="1">IF(Tabela1[[#This Row],[N°]]=D186,time_sum(Tabela1[[#This Row],[TEMPO]],E186),Tabela1[[#This Row],[TEMPO]])</f>
        <v>00:40:00:000</v>
      </c>
      <c r="H187" s="1" t="e">
        <f>VLOOKUP(C187,LARGADA!A:B,2,FALSE)</f>
        <v>#N/A</v>
      </c>
      <c r="I187" s="1" t="e">
        <f>VLOOKUP(C187,CHEGADA!A:B,2,FALSE)</f>
        <v>#N/A</v>
      </c>
    </row>
    <row r="188" spans="4:9">
      <c r="D188" s="2" t="str">
        <f>IFERROR(LEFT(Tabela1[[#This Row],[N°S]],LEN(Tabela1[[#This Row],[N°S]])-1),"")</f>
        <v/>
      </c>
      <c r="E188" s="1" t="str" cm="1">
        <f t="array" ref="E188">IFERROR(time_diff_cor(Tabela1[[#This Row],[Largada]],Tabela1[[#This Row],[Chegada]]),"00:20:00:000")</f>
        <v>00:20:00:000</v>
      </c>
      <c r="F188" s="1" t="str" cm="1">
        <f t="array" ref="F188">IFERROR(time_diff(Tabela1[[#This Row],[TEMPO]],E187),"00:00:00:000")</f>
        <v>00:00:00:00</v>
      </c>
      <c r="G188" s="1" t="str" cm="1">
        <f t="array" aca="1" ref="G188" ca="1">IF(Tabela1[[#This Row],[N°]]=D187,time_sum(Tabela1[[#This Row],[TEMPO]],E187),Tabela1[[#This Row],[TEMPO]])</f>
        <v>00:40:00:000</v>
      </c>
      <c r="H188" s="1" t="e">
        <f>VLOOKUP(C188,LARGADA!A:B,2,FALSE)</f>
        <v>#N/A</v>
      </c>
      <c r="I188" s="1" t="e">
        <f>VLOOKUP(C188,CHEGADA!A:B,2,FALSE)</f>
        <v>#N/A</v>
      </c>
    </row>
    <row r="189" spans="4:9">
      <c r="D189" s="2" t="str">
        <f>IFERROR(LEFT(Tabela1[[#This Row],[N°S]],LEN(Tabela1[[#This Row],[N°S]])-1),"")</f>
        <v/>
      </c>
      <c r="E189" s="1" t="str" cm="1">
        <f t="array" ref="E189">IFERROR(time_diff_cor(Tabela1[[#This Row],[Largada]],Tabela1[[#This Row],[Chegada]]),"00:20:00:000")</f>
        <v>00:20:00:000</v>
      </c>
      <c r="F189" s="1" t="str" cm="1">
        <f t="array" ref="F189">IFERROR(time_diff(Tabela1[[#This Row],[TEMPO]],E188),"00:00:00:000")</f>
        <v>00:00:00:00</v>
      </c>
      <c r="G189" s="1" t="str" cm="1">
        <f t="array" aca="1" ref="G189" ca="1">IF(Tabela1[[#This Row],[N°]]=D188,time_sum(Tabela1[[#This Row],[TEMPO]],E188),Tabela1[[#This Row],[TEMPO]])</f>
        <v>00:40:00:000</v>
      </c>
      <c r="H189" s="1" t="e">
        <f>VLOOKUP(C189,LARGADA!A:B,2,FALSE)</f>
        <v>#N/A</v>
      </c>
      <c r="I189" s="1" t="e">
        <f>VLOOKUP(C189,CHEGADA!A:B,2,FALSE)</f>
        <v>#N/A</v>
      </c>
    </row>
    <row r="190" spans="4:9">
      <c r="D190" s="2" t="str">
        <f>IFERROR(LEFT(Tabela1[[#This Row],[N°S]],LEN(Tabela1[[#This Row],[N°S]])-1),"")</f>
        <v/>
      </c>
      <c r="E190" s="1" t="str" cm="1">
        <f t="array" ref="E190">IFERROR(time_diff_cor(Tabela1[[#This Row],[Largada]],Tabela1[[#This Row],[Chegada]]),"00:20:00:000")</f>
        <v>00:20:00:000</v>
      </c>
      <c r="F190" s="1" t="str" cm="1">
        <f t="array" ref="F190">IFERROR(time_diff(Tabela1[[#This Row],[TEMPO]],E189),"00:00:00:000")</f>
        <v>00:00:00:00</v>
      </c>
      <c r="G190" s="1" t="str" cm="1">
        <f t="array" aca="1" ref="G190" ca="1">IF(Tabela1[[#This Row],[N°]]=D189,time_sum(Tabela1[[#This Row],[TEMPO]],E189),Tabela1[[#This Row],[TEMPO]])</f>
        <v>00:40:00:000</v>
      </c>
      <c r="H190" s="1" t="e">
        <f>VLOOKUP(C190,LARGADA!A:B,2,FALSE)</f>
        <v>#N/A</v>
      </c>
      <c r="I190" s="1" t="e">
        <f>VLOOKUP(C190,CHEGADA!A:B,2,FALSE)</f>
        <v>#N/A</v>
      </c>
    </row>
    <row r="191" spans="4:9">
      <c r="D191" s="2" t="str">
        <f>IFERROR(LEFT(Tabela1[[#This Row],[N°S]],LEN(Tabela1[[#This Row],[N°S]])-1),"")</f>
        <v/>
      </c>
      <c r="E191" s="1" t="str" cm="1">
        <f t="array" ref="E191">IFERROR(time_diff_cor(Tabela1[[#This Row],[Largada]],Tabela1[[#This Row],[Chegada]]),"00:20:00:000")</f>
        <v>00:20:00:000</v>
      </c>
      <c r="F191" s="1" t="str" cm="1">
        <f t="array" ref="F191">IFERROR(time_diff(Tabela1[[#This Row],[TEMPO]],E190),"00:00:00:000")</f>
        <v>00:00:00:00</v>
      </c>
      <c r="G191" s="1" t="str" cm="1">
        <f t="array" aca="1" ref="G191" ca="1">IF(Tabela1[[#This Row],[N°]]=D190,time_sum(Tabela1[[#This Row],[TEMPO]],E190),Tabela1[[#This Row],[TEMPO]])</f>
        <v>00:40:00:000</v>
      </c>
      <c r="H191" s="1" t="e">
        <f>VLOOKUP(C191,LARGADA!A:B,2,FALSE)</f>
        <v>#N/A</v>
      </c>
      <c r="I191" s="1" t="e">
        <f>VLOOKUP(C191,CHEGADA!A:B,2,FALSE)</f>
        <v>#N/A</v>
      </c>
    </row>
    <row r="192" spans="4:9">
      <c r="D192" s="2" t="str">
        <f>IFERROR(LEFT(Tabela1[[#This Row],[N°S]],LEN(Tabela1[[#This Row],[N°S]])-1),"")</f>
        <v/>
      </c>
      <c r="E192" s="1" t="str" cm="1">
        <f t="array" ref="E192">IFERROR(time_diff_cor(Tabela1[[#This Row],[Largada]],Tabela1[[#This Row],[Chegada]]),"00:20:00:000")</f>
        <v>00:20:00:000</v>
      </c>
      <c r="F192" s="1" t="str" cm="1">
        <f t="array" ref="F192">IFERROR(time_diff(Tabela1[[#This Row],[TEMPO]],E191),"00:00:00:000")</f>
        <v>00:00:00:00</v>
      </c>
      <c r="G192" s="1" t="str" cm="1">
        <f t="array" aca="1" ref="G192" ca="1">IF(Tabela1[[#This Row],[N°]]=D191,time_sum(Tabela1[[#This Row],[TEMPO]],E191),Tabela1[[#This Row],[TEMPO]])</f>
        <v>00:40:00:000</v>
      </c>
      <c r="H192" s="1" t="e">
        <f>VLOOKUP(C192,LARGADA!A:B,2,FALSE)</f>
        <v>#N/A</v>
      </c>
      <c r="I192" s="1" t="e">
        <f>VLOOKUP(C192,CHEGADA!A:B,2,FALSE)</f>
        <v>#N/A</v>
      </c>
    </row>
    <row r="193" spans="4:9">
      <c r="D193" s="2" t="str">
        <f>IFERROR(LEFT(Tabela1[[#This Row],[N°S]],LEN(Tabela1[[#This Row],[N°S]])-1),"")</f>
        <v/>
      </c>
      <c r="E193" s="1" t="str" cm="1">
        <f t="array" ref="E193">IFERROR(time_diff_cor(Tabela1[[#This Row],[Largada]],Tabela1[[#This Row],[Chegada]]),"00:20:00:000")</f>
        <v>00:20:00:000</v>
      </c>
      <c r="F193" s="1" t="str" cm="1">
        <f t="array" ref="F193">IFERROR(time_diff(Tabela1[[#This Row],[TEMPO]],E192),"00:00:00:000")</f>
        <v>00:00:00:00</v>
      </c>
      <c r="G193" s="1" t="str" cm="1">
        <f t="array" aca="1" ref="G193" ca="1">IF(Tabela1[[#This Row],[N°]]=D192,time_sum(Tabela1[[#This Row],[TEMPO]],E192),Tabela1[[#This Row],[TEMPO]])</f>
        <v>00:40:00:000</v>
      </c>
      <c r="H193" s="1" t="e">
        <f>VLOOKUP(C193,LARGADA!A:B,2,FALSE)</f>
        <v>#N/A</v>
      </c>
      <c r="I193" s="1" t="e">
        <f>VLOOKUP(C193,CHEGADA!A:B,2,FALSE)</f>
        <v>#N/A</v>
      </c>
    </row>
    <row r="194" spans="4:9">
      <c r="D194" s="2" t="str">
        <f>IFERROR(LEFT(Tabela1[[#This Row],[N°S]],LEN(Tabela1[[#This Row],[N°S]])-1),"")</f>
        <v/>
      </c>
      <c r="E194" s="1" t="str" cm="1">
        <f t="array" ref="E194">IFERROR(time_diff_cor(Tabela1[[#This Row],[Largada]],Tabela1[[#This Row],[Chegada]]),"00:20:00:000")</f>
        <v>00:20:00:000</v>
      </c>
      <c r="F194" s="1" t="str" cm="1">
        <f t="array" ref="F194">IFERROR(time_diff(Tabela1[[#This Row],[TEMPO]],E193),"00:00:00:000")</f>
        <v>00:00:00:00</v>
      </c>
      <c r="G194" s="1" t="str" cm="1">
        <f t="array" aca="1" ref="G194" ca="1">IF(Tabela1[[#This Row],[N°]]=D193,time_sum(Tabela1[[#This Row],[TEMPO]],E193),Tabela1[[#This Row],[TEMPO]])</f>
        <v>00:40:00:000</v>
      </c>
      <c r="H194" s="1" t="e">
        <f>VLOOKUP(C194,LARGADA!A:B,2,FALSE)</f>
        <v>#N/A</v>
      </c>
      <c r="I194" s="1" t="e">
        <f>VLOOKUP(C194,CHEGADA!A:B,2,FALSE)</f>
        <v>#N/A</v>
      </c>
    </row>
    <row r="195" spans="4:9">
      <c r="D195" s="2" t="str">
        <f>IFERROR(LEFT(Tabela1[[#This Row],[N°S]],LEN(Tabela1[[#This Row],[N°S]])-1),"")</f>
        <v/>
      </c>
      <c r="E195" s="1" t="str" cm="1">
        <f t="array" ref="E195">IFERROR(time_diff_cor(Tabela1[[#This Row],[Largada]],Tabela1[[#This Row],[Chegada]]),"00:20:00:000")</f>
        <v>00:20:00:000</v>
      </c>
      <c r="F195" s="1" t="str" cm="1">
        <f t="array" ref="F195">IFERROR(time_diff(Tabela1[[#This Row],[TEMPO]],E194),"00:00:00:000")</f>
        <v>00:00:00:00</v>
      </c>
      <c r="G195" s="1" t="str" cm="1">
        <f t="array" aca="1" ref="G195" ca="1">IF(Tabela1[[#This Row],[N°]]=D194,time_sum(Tabela1[[#This Row],[TEMPO]],E194),Tabela1[[#This Row],[TEMPO]])</f>
        <v>00:40:00:000</v>
      </c>
      <c r="H195" s="1" t="e">
        <f>VLOOKUP(C195,LARGADA!A:B,2,FALSE)</f>
        <v>#N/A</v>
      </c>
      <c r="I195" s="1" t="e">
        <f>VLOOKUP(C195,CHEGADA!A:B,2,FALSE)</f>
        <v>#N/A</v>
      </c>
    </row>
    <row r="196" spans="4:9">
      <c r="D196" s="2" t="str">
        <f>IFERROR(LEFT(Tabela1[[#This Row],[N°S]],LEN(Tabela1[[#This Row],[N°S]])-1),"")</f>
        <v/>
      </c>
      <c r="E196" s="1" t="str" cm="1">
        <f t="array" ref="E196">IFERROR(time_diff_cor(Tabela1[[#This Row],[Largada]],Tabela1[[#This Row],[Chegada]]),"00:20:00:000")</f>
        <v>00:20:00:000</v>
      </c>
      <c r="F196" s="1" t="str" cm="1">
        <f t="array" ref="F196">IFERROR(time_diff(Tabela1[[#This Row],[TEMPO]],E195),"00:00:00:000")</f>
        <v>00:00:00:00</v>
      </c>
      <c r="G196" s="1" t="str" cm="1">
        <f t="array" aca="1" ref="G196" ca="1">IF(Tabela1[[#This Row],[N°]]=D195,time_sum(Tabela1[[#This Row],[TEMPO]],E195),Tabela1[[#This Row],[TEMPO]])</f>
        <v>00:40:00:000</v>
      </c>
      <c r="H196" s="1" t="e">
        <f>VLOOKUP(C196,LARGADA!A:B,2,FALSE)</f>
        <v>#N/A</v>
      </c>
      <c r="I196" s="1" t="e">
        <f>VLOOKUP(C196,CHEGADA!A:B,2,FALSE)</f>
        <v>#N/A</v>
      </c>
    </row>
    <row r="197" spans="4:9">
      <c r="D197" s="2" t="str">
        <f>IFERROR(LEFT(Tabela1[[#This Row],[N°S]],LEN(Tabela1[[#This Row],[N°S]])-1),"")</f>
        <v/>
      </c>
      <c r="E197" s="1" t="str" cm="1">
        <f t="array" ref="E197">IFERROR(time_diff_cor(Tabela1[[#This Row],[Largada]],Tabela1[[#This Row],[Chegada]]),"00:20:00:000")</f>
        <v>00:20:00:000</v>
      </c>
      <c r="F197" s="1" t="str" cm="1">
        <f t="array" ref="F197">IFERROR(time_diff(Tabela1[[#This Row],[TEMPO]],E196),"00:00:00:000")</f>
        <v>00:00:00:00</v>
      </c>
      <c r="G197" s="1" t="str" cm="1">
        <f t="array" aca="1" ref="G197" ca="1">IF(Tabela1[[#This Row],[N°]]=D196,time_sum(Tabela1[[#This Row],[TEMPO]],E196),Tabela1[[#This Row],[TEMPO]])</f>
        <v>00:40:00:000</v>
      </c>
      <c r="H197" s="1" t="e">
        <f>VLOOKUP(C197,LARGADA!A:B,2,FALSE)</f>
        <v>#N/A</v>
      </c>
      <c r="I197" s="1" t="e">
        <f>VLOOKUP(C197,CHEGADA!A:B,2,FALSE)</f>
        <v>#N/A</v>
      </c>
    </row>
    <row r="198" spans="4:9">
      <c r="D198" s="2" t="str">
        <f>IFERROR(LEFT(Tabela1[[#This Row],[N°S]],LEN(Tabela1[[#This Row],[N°S]])-1),"")</f>
        <v/>
      </c>
      <c r="E198" s="1" t="str" cm="1">
        <f t="array" ref="E198">IFERROR(time_diff_cor(Tabela1[[#This Row],[Largada]],Tabela1[[#This Row],[Chegada]]),"00:20:00:000")</f>
        <v>00:20:00:000</v>
      </c>
      <c r="F198" s="1" t="str" cm="1">
        <f t="array" ref="F198">IFERROR(time_diff(Tabela1[[#This Row],[TEMPO]],E197),"00:00:00:000")</f>
        <v>00:00:00:00</v>
      </c>
      <c r="G198" s="1" t="str" cm="1">
        <f t="array" aca="1" ref="G198" ca="1">IF(Tabela1[[#This Row],[N°]]=D197,time_sum(Tabela1[[#This Row],[TEMPO]],E197),Tabela1[[#This Row],[TEMPO]])</f>
        <v>00:40:00:000</v>
      </c>
      <c r="H198" s="1" t="e">
        <f>VLOOKUP(C198,LARGADA!A:B,2,FALSE)</f>
        <v>#N/A</v>
      </c>
      <c r="I198" s="1" t="e">
        <f>VLOOKUP(C198,CHEGADA!A:B,2,FALSE)</f>
        <v>#N/A</v>
      </c>
    </row>
    <row r="199" spans="4:9">
      <c r="D199" s="2" t="str">
        <f>IFERROR(LEFT(Tabela1[[#This Row],[N°S]],LEN(Tabela1[[#This Row],[N°S]])-1),"")</f>
        <v/>
      </c>
      <c r="E199" s="1" t="str" cm="1">
        <f t="array" ref="E199">IFERROR(time_diff_cor(Tabela1[[#This Row],[Largada]],Tabela1[[#This Row],[Chegada]]),"00:20:00:000")</f>
        <v>00:20:00:000</v>
      </c>
      <c r="F199" s="1" t="str" cm="1">
        <f t="array" ref="F199">IFERROR(time_diff(Tabela1[[#This Row],[TEMPO]],E198),"00:00:00:000")</f>
        <v>00:00:00:00</v>
      </c>
      <c r="G199" s="1" t="str" cm="1">
        <f t="array" aca="1" ref="G199" ca="1">IF(Tabela1[[#This Row],[N°]]=D198,time_sum(Tabela1[[#This Row],[TEMPO]],E198),Tabela1[[#This Row],[TEMPO]])</f>
        <v>00:40:00:000</v>
      </c>
      <c r="H199" s="1" t="e">
        <f>VLOOKUP(C199,LARGADA!A:B,2,FALSE)</f>
        <v>#N/A</v>
      </c>
      <c r="I199" s="1" t="e">
        <f>VLOOKUP(C199,CHEGADA!A:B,2,FALSE)</f>
        <v>#N/A</v>
      </c>
    </row>
    <row r="200" spans="4:9">
      <c r="D200" s="2" t="str">
        <f>IFERROR(LEFT(Tabela1[[#This Row],[N°S]],LEN(Tabela1[[#This Row],[N°S]])-1),"")</f>
        <v/>
      </c>
      <c r="E200" s="1" t="str" cm="1">
        <f t="array" ref="E200">IFERROR(time_diff_cor(Tabela1[[#This Row],[Largada]],Tabela1[[#This Row],[Chegada]]),"00:20:00:000")</f>
        <v>00:20:00:000</v>
      </c>
      <c r="F200" s="1" t="str" cm="1">
        <f t="array" ref="F200">IFERROR(time_diff(Tabela1[[#This Row],[TEMPO]],E199),"00:00:00:000")</f>
        <v>00:00:00:00</v>
      </c>
      <c r="G200" s="1" t="str" cm="1">
        <f t="array" aca="1" ref="G200" ca="1">IF(Tabela1[[#This Row],[N°]]=D199,time_sum(Tabela1[[#This Row],[TEMPO]],E199),Tabela1[[#This Row],[TEMPO]])</f>
        <v>00:40:00:000</v>
      </c>
      <c r="H200" s="1" t="e">
        <f>VLOOKUP(C200,LARGADA!A:B,2,FALSE)</f>
        <v>#N/A</v>
      </c>
      <c r="I200" s="1" t="e">
        <f>VLOOKUP(C200,CHEGADA!A:B,2,FALSE)</f>
        <v>#N/A</v>
      </c>
    </row>
    <row r="201" spans="4:9">
      <c r="D201" s="2" t="str">
        <f>IFERROR(LEFT(Tabela1[[#This Row],[N°S]],LEN(Tabela1[[#This Row],[N°S]])-1),"")</f>
        <v/>
      </c>
      <c r="E201" s="1" t="str" cm="1">
        <f t="array" ref="E201">IFERROR(time_diff_cor(Tabela1[[#This Row],[Largada]],Tabela1[[#This Row],[Chegada]]),"00:20:00:000")</f>
        <v>00:20:00:000</v>
      </c>
      <c r="F201" s="1" t="str" cm="1">
        <f t="array" ref="F201">IFERROR(time_diff(Tabela1[[#This Row],[TEMPO]],E200),"00:00:00:000")</f>
        <v>00:00:00:00</v>
      </c>
      <c r="G201" s="1" t="str" cm="1">
        <f t="array" aca="1" ref="G201" ca="1">IF(Tabela1[[#This Row],[N°]]=D200,time_sum(Tabela1[[#This Row],[TEMPO]],E200),Tabela1[[#This Row],[TEMPO]])</f>
        <v>00:40:00:000</v>
      </c>
      <c r="H201" s="1" t="e">
        <f>VLOOKUP(C201,LARGADA!A:B,2,FALSE)</f>
        <v>#N/A</v>
      </c>
      <c r="I201" s="1" t="e">
        <f>VLOOKUP(C201,CHEGADA!A:B,2,FALSE)</f>
        <v>#N/A</v>
      </c>
    </row>
    <row r="202" spans="4:9">
      <c r="D202" s="2" t="str">
        <f>IFERROR(LEFT(Tabela1[[#This Row],[N°S]],LEN(Tabela1[[#This Row],[N°S]])-1),"")</f>
        <v/>
      </c>
      <c r="E202" s="1" t="str" cm="1">
        <f t="array" ref="E202">IFERROR(time_diff_cor(Tabela1[[#This Row],[Largada]],Tabela1[[#This Row],[Chegada]]),"00:20:00:000")</f>
        <v>00:20:00:000</v>
      </c>
      <c r="F202" s="1" t="str" cm="1">
        <f t="array" ref="F202">IFERROR(time_diff(Tabela1[[#This Row],[TEMPO]],E201),"00:00:00:000")</f>
        <v>00:00:00:00</v>
      </c>
      <c r="G202" s="1" t="str" cm="1">
        <f t="array" aca="1" ref="G202" ca="1">IF(Tabela1[[#This Row],[N°]]=D201,time_sum(Tabela1[[#This Row],[TEMPO]],E201),Tabela1[[#This Row],[TEMPO]])</f>
        <v>00:40:00:000</v>
      </c>
      <c r="H202" s="1" t="e">
        <f>VLOOKUP(C202,LARGADA!A:B,2,FALSE)</f>
        <v>#N/A</v>
      </c>
      <c r="I202" s="1" t="e">
        <f>VLOOKUP(C202,CHEGADA!A:B,2,FALSE)</f>
        <v>#N/A</v>
      </c>
    </row>
    <row r="203" spans="4:9">
      <c r="D203" s="2" t="str">
        <f>IFERROR(LEFT(Tabela1[[#This Row],[N°S]],LEN(Tabela1[[#This Row],[N°S]])-1),"")</f>
        <v/>
      </c>
      <c r="E203" s="1" t="str" cm="1">
        <f t="array" ref="E203">IFERROR(time_diff_cor(Tabela1[[#This Row],[Largada]],Tabela1[[#This Row],[Chegada]]),"00:20:00:000")</f>
        <v>00:20:00:000</v>
      </c>
      <c r="F203" s="1" t="str" cm="1">
        <f t="array" ref="F203">IFERROR(time_diff(Tabela1[[#This Row],[TEMPO]],E202),"00:00:00:000")</f>
        <v>00:00:00:00</v>
      </c>
      <c r="G203" s="1" t="str" cm="1">
        <f t="array" aca="1" ref="G203" ca="1">IF(Tabela1[[#This Row],[N°]]=D202,time_sum(Tabela1[[#This Row],[TEMPO]],E202),Tabela1[[#This Row],[TEMPO]])</f>
        <v>00:40:00:000</v>
      </c>
      <c r="H203" s="1" t="e">
        <f>VLOOKUP(C203,LARGADA!A:B,2,FALSE)</f>
        <v>#N/A</v>
      </c>
      <c r="I203" s="1" t="e">
        <f>VLOOKUP(C203,CHEGADA!A:B,2,FALSE)</f>
        <v>#N/A</v>
      </c>
    </row>
    <row r="204" spans="4:9">
      <c r="D204" s="2" t="str">
        <f>IFERROR(LEFT(Tabela1[[#This Row],[N°S]],LEN(Tabela1[[#This Row],[N°S]])-1),"")</f>
        <v/>
      </c>
      <c r="E204" s="1" t="str" cm="1">
        <f t="array" ref="E204">IFERROR(time_diff_cor(Tabela1[[#This Row],[Largada]],Tabela1[[#This Row],[Chegada]]),"00:20:00:000")</f>
        <v>00:20:00:000</v>
      </c>
      <c r="F204" s="1" t="str" cm="1">
        <f t="array" ref="F204">IFERROR(time_diff(Tabela1[[#This Row],[TEMPO]],E203),"00:00:00:000")</f>
        <v>00:00:00:00</v>
      </c>
      <c r="G204" s="1" t="str" cm="1">
        <f t="array" aca="1" ref="G204" ca="1">IF(Tabela1[[#This Row],[N°]]=D203,time_sum(Tabela1[[#This Row],[TEMPO]],E203),Tabela1[[#This Row],[TEMPO]])</f>
        <v>00:40:00:000</v>
      </c>
      <c r="H204" s="1" t="e">
        <f>VLOOKUP(C204,LARGADA!A:B,2,FALSE)</f>
        <v>#N/A</v>
      </c>
      <c r="I204" s="1" t="e">
        <f>VLOOKUP(C204,CHEGADA!A:B,2,FALSE)</f>
        <v>#N/A</v>
      </c>
    </row>
    <row r="205" spans="4:9">
      <c r="D205" s="2" t="str">
        <f>IFERROR(LEFT(Tabela1[[#This Row],[N°S]],LEN(Tabela1[[#This Row],[N°S]])-1),"")</f>
        <v/>
      </c>
      <c r="E205" s="1" t="str" cm="1">
        <f t="array" ref="E205">IFERROR(time_diff_cor(Tabela1[[#This Row],[Largada]],Tabela1[[#This Row],[Chegada]]),"00:20:00:000")</f>
        <v>00:20:00:000</v>
      </c>
      <c r="F205" s="1" t="str" cm="1">
        <f t="array" ref="F205">IFERROR(time_diff(Tabela1[[#This Row],[TEMPO]],E204),"00:00:00:000")</f>
        <v>00:00:00:00</v>
      </c>
      <c r="G205" s="1" t="str" cm="1">
        <f t="array" aca="1" ref="G205" ca="1">IF(Tabela1[[#This Row],[N°]]=D204,time_sum(Tabela1[[#This Row],[TEMPO]],E204),Tabela1[[#This Row],[TEMPO]])</f>
        <v>00:40:00:000</v>
      </c>
      <c r="H205" s="1" t="e">
        <f>VLOOKUP(C205,LARGADA!A:B,2,FALSE)</f>
        <v>#N/A</v>
      </c>
      <c r="I205" s="1" t="e">
        <f>VLOOKUP(C205,CHEGADA!A:B,2,FALSE)</f>
        <v>#N/A</v>
      </c>
    </row>
    <row r="206" spans="4:9">
      <c r="D206" s="2" t="str">
        <f>IFERROR(LEFT(Tabela1[[#This Row],[N°S]],LEN(Tabela1[[#This Row],[N°S]])-1),"")</f>
        <v/>
      </c>
      <c r="E206" s="1" t="str" cm="1">
        <f t="array" ref="E206">IFERROR(time_diff_cor(Tabela1[[#This Row],[Largada]],Tabela1[[#This Row],[Chegada]]),"00:20:00:000")</f>
        <v>00:20:00:000</v>
      </c>
      <c r="F206" s="1" t="str" cm="1">
        <f t="array" ref="F206">IFERROR(time_diff(Tabela1[[#This Row],[TEMPO]],E205),"00:00:00:000")</f>
        <v>00:00:00:00</v>
      </c>
      <c r="G206" s="1" t="str" cm="1">
        <f t="array" aca="1" ref="G206" ca="1">IF(Tabela1[[#This Row],[N°]]=D205,time_sum(Tabela1[[#This Row],[TEMPO]],E205),Tabela1[[#This Row],[TEMPO]])</f>
        <v>00:40:00:000</v>
      </c>
      <c r="H206" s="1" t="e">
        <f>VLOOKUP(C206,LARGADA!A:B,2,FALSE)</f>
        <v>#N/A</v>
      </c>
      <c r="I206" s="1" t="e">
        <f>VLOOKUP(C206,CHEGADA!A:B,2,FALSE)</f>
        <v>#N/A</v>
      </c>
    </row>
    <row r="207" spans="4:9">
      <c r="D207" s="2" t="str">
        <f>IFERROR(LEFT(Tabela1[[#This Row],[N°S]],LEN(Tabela1[[#This Row],[N°S]])-1),"")</f>
        <v/>
      </c>
      <c r="E207" s="1" t="str" cm="1">
        <f t="array" ref="E207">IFERROR(time_diff_cor(Tabela1[[#This Row],[Largada]],Tabela1[[#This Row],[Chegada]]),"00:20:00:000")</f>
        <v>00:20:00:000</v>
      </c>
      <c r="F207" s="1" t="str" cm="1">
        <f t="array" ref="F207">IFERROR(time_diff(Tabela1[[#This Row],[TEMPO]],E206),"00:00:00:000")</f>
        <v>00:00:00:00</v>
      </c>
      <c r="G207" s="1" t="str" cm="1">
        <f t="array" aca="1" ref="G207" ca="1">IF(Tabela1[[#This Row],[N°]]=D206,time_sum(Tabela1[[#This Row],[TEMPO]],E206),Tabela1[[#This Row],[TEMPO]])</f>
        <v>00:40:00:000</v>
      </c>
      <c r="H207" s="1" t="e">
        <f>VLOOKUP(C207,LARGADA!A:B,2,FALSE)</f>
        <v>#N/A</v>
      </c>
      <c r="I207" s="1" t="e">
        <f>VLOOKUP(C207,CHEGADA!A:B,2,FALSE)</f>
        <v>#N/A</v>
      </c>
    </row>
    <row r="208" spans="4:9">
      <c r="D208" s="2" t="str">
        <f>IFERROR(LEFT(Tabela1[[#This Row],[N°S]],LEN(Tabela1[[#This Row],[N°S]])-1),"")</f>
        <v/>
      </c>
      <c r="E208" s="1" t="str" cm="1">
        <f t="array" ref="E208">IFERROR(time_diff_cor(Tabela1[[#This Row],[Largada]],Tabela1[[#This Row],[Chegada]]),"00:20:00:000")</f>
        <v>00:20:00:000</v>
      </c>
      <c r="F208" s="1" t="str" cm="1">
        <f t="array" ref="F208">IFERROR(time_diff(Tabela1[[#This Row],[TEMPO]],E207),"00:00:00:000")</f>
        <v>00:00:00:00</v>
      </c>
      <c r="G208" s="1" t="str" cm="1">
        <f t="array" aca="1" ref="G208" ca="1">IF(Tabela1[[#This Row],[N°]]=D207,time_sum(Tabela1[[#This Row],[TEMPO]],E207),Tabela1[[#This Row],[TEMPO]])</f>
        <v>00:40:00:000</v>
      </c>
      <c r="H208" s="1" t="e">
        <f>VLOOKUP(C208,LARGADA!A:B,2,FALSE)</f>
        <v>#N/A</v>
      </c>
      <c r="I208" s="1" t="e">
        <f>VLOOKUP(C208,CHEGADA!A:B,2,FALSE)</f>
        <v>#N/A</v>
      </c>
    </row>
    <row r="209" spans="4:9">
      <c r="D209" s="2" t="str">
        <f>IFERROR(LEFT(Tabela1[[#This Row],[N°S]],LEN(Tabela1[[#This Row],[N°S]])-1),"")</f>
        <v/>
      </c>
      <c r="E209" s="1" t="str" cm="1">
        <f t="array" ref="E209">IFERROR(time_diff_cor(Tabela1[[#This Row],[Largada]],Tabela1[[#This Row],[Chegada]]),"00:20:00:000")</f>
        <v>00:20:00:000</v>
      </c>
      <c r="F209" s="1" t="str" cm="1">
        <f t="array" ref="F209">IFERROR(time_diff(Tabela1[[#This Row],[TEMPO]],E208),"00:00:00:000")</f>
        <v>00:00:00:00</v>
      </c>
      <c r="G209" s="1" t="str" cm="1">
        <f t="array" aca="1" ref="G209" ca="1">IF(Tabela1[[#This Row],[N°]]=D208,time_sum(Tabela1[[#This Row],[TEMPO]],E208),Tabela1[[#This Row],[TEMPO]])</f>
        <v>00:40:00:000</v>
      </c>
      <c r="H209" s="1" t="e">
        <f>VLOOKUP(C209,LARGADA!A:B,2,FALSE)</f>
        <v>#N/A</v>
      </c>
      <c r="I209" s="1" t="e">
        <f>VLOOKUP(C209,CHEGADA!A:B,2,FALSE)</f>
        <v>#N/A</v>
      </c>
    </row>
    <row r="210" spans="4:9">
      <c r="D210" s="2" t="str">
        <f>IFERROR(LEFT(Tabela1[[#This Row],[N°S]],LEN(Tabela1[[#This Row],[N°S]])-1),"")</f>
        <v/>
      </c>
      <c r="E210" s="1" t="str" cm="1">
        <f t="array" ref="E210">IFERROR(time_diff_cor(Tabela1[[#This Row],[Largada]],Tabela1[[#This Row],[Chegada]]),"00:20:00:000")</f>
        <v>00:20:00:000</v>
      </c>
      <c r="F210" s="1" t="str" cm="1">
        <f t="array" ref="F210">IFERROR(time_diff(Tabela1[[#This Row],[TEMPO]],E209),"00:00:00:000")</f>
        <v>00:00:00:00</v>
      </c>
      <c r="G210" s="1" t="str" cm="1">
        <f t="array" aca="1" ref="G210" ca="1">IF(Tabela1[[#This Row],[N°]]=D209,time_sum(Tabela1[[#This Row],[TEMPO]],E209),Tabela1[[#This Row],[TEMPO]])</f>
        <v>00:40:00:000</v>
      </c>
      <c r="H210" s="1" t="e">
        <f>VLOOKUP(C210,LARGADA!A:B,2,FALSE)</f>
        <v>#N/A</v>
      </c>
      <c r="I210" s="1" t="e">
        <f>VLOOKUP(C210,CHEGADA!A:B,2,FALSE)</f>
        <v>#N/A</v>
      </c>
    </row>
    <row r="211" spans="4:9">
      <c r="D211" s="2" t="str">
        <f>IFERROR(LEFT(Tabela1[[#This Row],[N°S]],LEN(Tabela1[[#This Row],[N°S]])-1),"")</f>
        <v/>
      </c>
      <c r="E211" s="1" t="str" cm="1">
        <f t="array" ref="E211">IFERROR(time_diff_cor(Tabela1[[#This Row],[Largada]],Tabela1[[#This Row],[Chegada]]),"00:20:00:000")</f>
        <v>00:20:00:000</v>
      </c>
      <c r="F211" s="1" t="str" cm="1">
        <f t="array" ref="F211">IFERROR(time_diff(Tabela1[[#This Row],[TEMPO]],E210),"00:00:00:000")</f>
        <v>00:00:00:00</v>
      </c>
      <c r="G211" s="1" t="str" cm="1">
        <f t="array" aca="1" ref="G211" ca="1">IF(Tabela1[[#This Row],[N°]]=D210,time_sum(Tabela1[[#This Row],[TEMPO]],E210),Tabela1[[#This Row],[TEMPO]])</f>
        <v>00:40:00:000</v>
      </c>
      <c r="H211" s="1" t="e">
        <f>VLOOKUP(C211,LARGADA!A:B,2,FALSE)</f>
        <v>#N/A</v>
      </c>
      <c r="I211" s="1" t="e">
        <f>VLOOKUP(C211,CHEGADA!A:B,2,FALSE)</f>
        <v>#N/A</v>
      </c>
    </row>
    <row r="212" spans="4:9">
      <c r="D212" s="2" t="str">
        <f>IFERROR(LEFT(Tabela1[[#This Row],[N°S]],LEN(Tabela1[[#This Row],[N°S]])-1),"")</f>
        <v/>
      </c>
      <c r="E212" s="1" t="str" cm="1">
        <f t="array" ref="E212">IFERROR(time_diff_cor(Tabela1[[#This Row],[Largada]],Tabela1[[#This Row],[Chegada]]),"00:20:00:000")</f>
        <v>00:20:00:000</v>
      </c>
      <c r="F212" s="1" t="str" cm="1">
        <f t="array" ref="F212">IFERROR(time_diff(Tabela1[[#This Row],[TEMPO]],E211),"00:00:00:000")</f>
        <v>00:00:00:00</v>
      </c>
      <c r="G212" s="1" t="str" cm="1">
        <f t="array" aca="1" ref="G212" ca="1">IF(Tabela1[[#This Row],[N°]]=D211,time_sum(Tabela1[[#This Row],[TEMPO]],E211),Tabela1[[#This Row],[TEMPO]])</f>
        <v>00:40:00:000</v>
      </c>
      <c r="H212" s="1" t="e">
        <f>VLOOKUP(C212,LARGADA!A:B,2,FALSE)</f>
        <v>#N/A</v>
      </c>
      <c r="I212" s="1" t="e">
        <f>VLOOKUP(C212,CHEGADA!A:B,2,FALSE)</f>
        <v>#N/A</v>
      </c>
    </row>
    <row r="213" spans="4:9">
      <c r="D213" s="2" t="str">
        <f>IFERROR(LEFT(Tabela1[[#This Row],[N°S]],LEN(Tabela1[[#This Row],[N°S]])-1),"")</f>
        <v/>
      </c>
      <c r="E213" s="1" t="str" cm="1">
        <f t="array" ref="E213">IFERROR(time_diff_cor(Tabela1[[#This Row],[Largada]],Tabela1[[#This Row],[Chegada]]),"00:20:00:000")</f>
        <v>00:20:00:000</v>
      </c>
      <c r="F213" s="1" t="str" cm="1">
        <f t="array" ref="F213">IFERROR(time_diff(Tabela1[[#This Row],[TEMPO]],E212),"00:00:00:000")</f>
        <v>00:00:00:00</v>
      </c>
      <c r="G213" s="1" t="str" cm="1">
        <f t="array" aca="1" ref="G213" ca="1">IF(Tabela1[[#This Row],[N°]]=D212,time_sum(Tabela1[[#This Row],[TEMPO]],E212),Tabela1[[#This Row],[TEMPO]])</f>
        <v>00:40:00:000</v>
      </c>
      <c r="H213" s="1" t="e">
        <f>VLOOKUP(C213,LARGADA!A:B,2,FALSE)</f>
        <v>#N/A</v>
      </c>
      <c r="I213" s="1" t="e">
        <f>VLOOKUP(C213,CHEGADA!A:B,2,FALSE)</f>
        <v>#N/A</v>
      </c>
    </row>
    <row r="214" spans="4:9">
      <c r="D214" s="2" t="str">
        <f>IFERROR(LEFT(Tabela1[[#This Row],[N°S]],LEN(Tabela1[[#This Row],[N°S]])-1),"")</f>
        <v/>
      </c>
      <c r="E214" s="1" t="str" cm="1">
        <f t="array" ref="E214">IFERROR(time_diff_cor(Tabela1[[#This Row],[Largada]],Tabela1[[#This Row],[Chegada]]),"00:20:00:000")</f>
        <v>00:20:00:000</v>
      </c>
      <c r="F214" s="1" t="str" cm="1">
        <f t="array" ref="F214">IFERROR(time_diff(Tabela1[[#This Row],[TEMPO]],E213),"00:00:00:000")</f>
        <v>00:00:00:00</v>
      </c>
      <c r="G214" s="1" t="str" cm="1">
        <f t="array" aca="1" ref="G214" ca="1">IF(Tabela1[[#This Row],[N°]]=D213,time_sum(Tabela1[[#This Row],[TEMPO]],E213),Tabela1[[#This Row],[TEMPO]])</f>
        <v>00:40:00:000</v>
      </c>
      <c r="H214" s="1" t="e">
        <f>VLOOKUP(C214,LARGADA!A:B,2,FALSE)</f>
        <v>#N/A</v>
      </c>
      <c r="I214" s="1" t="e">
        <f>VLOOKUP(C214,CHEGADA!A:B,2,FALSE)</f>
        <v>#N/A</v>
      </c>
    </row>
    <row r="215" spans="4:9">
      <c r="D215" s="2" t="str">
        <f>IFERROR(LEFT(Tabela1[[#This Row],[N°S]],LEN(Tabela1[[#This Row],[N°S]])-1),"")</f>
        <v/>
      </c>
      <c r="E215" s="1" t="str" cm="1">
        <f t="array" ref="E215">IFERROR(time_diff_cor(Tabela1[[#This Row],[Largada]],Tabela1[[#This Row],[Chegada]]),"00:20:00:000")</f>
        <v>00:20:00:000</v>
      </c>
      <c r="F215" s="1" t="str" cm="1">
        <f t="array" ref="F215">IFERROR(time_diff(Tabela1[[#This Row],[TEMPO]],E214),"00:00:00:000")</f>
        <v>00:00:00:00</v>
      </c>
      <c r="G215" s="1" t="str" cm="1">
        <f t="array" aca="1" ref="G215" ca="1">IF(Tabela1[[#This Row],[N°]]=D214,time_sum(Tabela1[[#This Row],[TEMPO]],E214),Tabela1[[#This Row],[TEMPO]])</f>
        <v>00:40:00:000</v>
      </c>
      <c r="H215" s="1" t="e">
        <f>VLOOKUP(C215,LARGADA!A:B,2,FALSE)</f>
        <v>#N/A</v>
      </c>
      <c r="I215" s="1" t="e">
        <f>VLOOKUP(C215,CHEGADA!A:B,2,FALSE)</f>
        <v>#N/A</v>
      </c>
    </row>
    <row r="216" spans="4:9">
      <c r="D216" s="2" t="str">
        <f>IFERROR(LEFT(Tabela1[[#This Row],[N°S]],LEN(Tabela1[[#This Row],[N°S]])-1),"")</f>
        <v/>
      </c>
      <c r="E216" s="1" t="str" cm="1">
        <f t="array" ref="E216">IFERROR(time_diff_cor(Tabela1[[#This Row],[Largada]],Tabela1[[#This Row],[Chegada]]),"00:20:00:000")</f>
        <v>00:20:00:000</v>
      </c>
      <c r="F216" s="1" t="str" cm="1">
        <f t="array" ref="F216">IFERROR(time_diff(Tabela1[[#This Row],[TEMPO]],E215),"00:00:00:000")</f>
        <v>00:00:00:00</v>
      </c>
      <c r="G216" s="1" t="str" cm="1">
        <f t="array" aca="1" ref="G216" ca="1">IF(Tabela1[[#This Row],[N°]]=D215,time_sum(Tabela1[[#This Row],[TEMPO]],E215),Tabela1[[#This Row],[TEMPO]])</f>
        <v>00:40:00:000</v>
      </c>
      <c r="H216" s="1" t="e">
        <f>VLOOKUP(C216,LARGADA!A:B,2,FALSE)</f>
        <v>#N/A</v>
      </c>
      <c r="I216" s="1" t="e">
        <f>VLOOKUP(C216,CHEGADA!A:B,2,FALSE)</f>
        <v>#N/A</v>
      </c>
    </row>
    <row r="217" spans="4:9">
      <c r="D217" s="2" t="str">
        <f>IFERROR(LEFT(Tabela1[[#This Row],[N°S]],LEN(Tabela1[[#This Row],[N°S]])-1),"")</f>
        <v/>
      </c>
      <c r="E217" s="1" t="str" cm="1">
        <f t="array" ref="E217">IFERROR(time_diff_cor(Tabela1[[#This Row],[Largada]],Tabela1[[#This Row],[Chegada]]),"00:20:00:000")</f>
        <v>00:20:00:000</v>
      </c>
      <c r="F217" s="1" t="str" cm="1">
        <f t="array" ref="F217">IFERROR(time_diff(Tabela1[[#This Row],[TEMPO]],E216),"00:00:00:000")</f>
        <v>00:00:00:00</v>
      </c>
      <c r="G217" s="1" t="str" cm="1">
        <f t="array" aca="1" ref="G217" ca="1">IF(Tabela1[[#This Row],[N°]]=D216,time_sum(Tabela1[[#This Row],[TEMPO]],E216),Tabela1[[#This Row],[TEMPO]])</f>
        <v>00:40:00:000</v>
      </c>
      <c r="H217" s="1" t="e">
        <f>VLOOKUP(C217,LARGADA!A:B,2,FALSE)</f>
        <v>#N/A</v>
      </c>
      <c r="I217" s="1" t="e">
        <f>VLOOKUP(C217,CHEGADA!A:B,2,FALSE)</f>
        <v>#N/A</v>
      </c>
    </row>
    <row r="218" spans="4:9">
      <c r="D218" s="2" t="str">
        <f>IFERROR(LEFT(Tabela1[[#This Row],[N°S]],LEN(Tabela1[[#This Row],[N°S]])-1),"")</f>
        <v/>
      </c>
      <c r="E218" s="1" t="str" cm="1">
        <f t="array" ref="E218">IFERROR(time_diff_cor(Tabela1[[#This Row],[Largada]],Tabela1[[#This Row],[Chegada]]),"00:20:00:000")</f>
        <v>00:20:00:000</v>
      </c>
      <c r="F218" s="1" t="str" cm="1">
        <f t="array" ref="F218">IFERROR(time_diff(Tabela1[[#This Row],[TEMPO]],E217),"00:00:00:000")</f>
        <v>00:00:00:00</v>
      </c>
      <c r="G218" s="1" t="str" cm="1">
        <f t="array" aca="1" ref="G218" ca="1">IF(Tabela1[[#This Row],[N°]]=D217,time_sum(Tabela1[[#This Row],[TEMPO]],E217),Tabela1[[#This Row],[TEMPO]])</f>
        <v>00:40:00:000</v>
      </c>
      <c r="H218" s="1" t="e">
        <f>VLOOKUP(C218,LARGADA!A:B,2,FALSE)</f>
        <v>#N/A</v>
      </c>
      <c r="I218" s="1" t="e">
        <f>VLOOKUP(C218,CHEGADA!A:B,2,FALSE)</f>
        <v>#N/A</v>
      </c>
    </row>
    <row r="219" spans="4:9">
      <c r="D219" s="2" t="str">
        <f>IFERROR(LEFT(Tabela1[[#This Row],[N°S]],LEN(Tabela1[[#This Row],[N°S]])-1),"")</f>
        <v/>
      </c>
      <c r="E219" s="1" t="str" cm="1">
        <f t="array" ref="E219">IFERROR(time_diff_cor(Tabela1[[#This Row],[Largada]],Tabela1[[#This Row],[Chegada]]),"00:20:00:000")</f>
        <v>00:20:00:000</v>
      </c>
      <c r="F219" s="1" t="str" cm="1">
        <f t="array" ref="F219">IFERROR(time_diff(Tabela1[[#This Row],[TEMPO]],E218),"00:00:00:000")</f>
        <v>00:00:00:00</v>
      </c>
      <c r="G219" s="1" t="str" cm="1">
        <f t="array" aca="1" ref="G219" ca="1">IF(Tabela1[[#This Row],[N°]]=D218,time_sum(Tabela1[[#This Row],[TEMPO]],E218),Tabela1[[#This Row],[TEMPO]])</f>
        <v>00:40:00:000</v>
      </c>
      <c r="H219" s="1" t="e">
        <f>VLOOKUP(C219,LARGADA!A:B,2,FALSE)</f>
        <v>#N/A</v>
      </c>
      <c r="I219" s="1" t="e">
        <f>VLOOKUP(C219,CHEGADA!A:B,2,FALSE)</f>
        <v>#N/A</v>
      </c>
    </row>
    <row r="220" spans="4:9">
      <c r="D220" s="2" t="str">
        <f>IFERROR(LEFT(Tabela1[[#This Row],[N°S]],LEN(Tabela1[[#This Row],[N°S]])-1),"")</f>
        <v/>
      </c>
      <c r="E220" s="1" t="str" cm="1">
        <f t="array" ref="E220">IFERROR(time_diff_cor(Tabela1[[#This Row],[Largada]],Tabela1[[#This Row],[Chegada]]),"00:20:00:000")</f>
        <v>00:20:00:000</v>
      </c>
      <c r="F220" s="1" t="str" cm="1">
        <f t="array" ref="F220">IFERROR(time_diff(Tabela1[[#This Row],[TEMPO]],E219),"00:00:00:000")</f>
        <v>00:00:00:00</v>
      </c>
      <c r="G220" s="1" t="str" cm="1">
        <f t="array" aca="1" ref="G220" ca="1">IF(Tabela1[[#This Row],[N°]]=D219,time_sum(Tabela1[[#This Row],[TEMPO]],E219),Tabela1[[#This Row],[TEMPO]])</f>
        <v>00:40:00:000</v>
      </c>
      <c r="H220" s="1" t="e">
        <f>VLOOKUP(C220,LARGADA!A:B,2,FALSE)</f>
        <v>#N/A</v>
      </c>
      <c r="I220" s="1" t="e">
        <f>VLOOKUP(C220,CHEGADA!A:B,2,FALSE)</f>
        <v>#N/A</v>
      </c>
    </row>
    <row r="221" spans="4:9">
      <c r="D221" s="2" t="str">
        <f>IFERROR(LEFT(Tabela1[[#This Row],[N°S]],LEN(Tabela1[[#This Row],[N°S]])-1),"")</f>
        <v/>
      </c>
      <c r="E221" s="1" t="str" cm="1">
        <f t="array" ref="E221">IFERROR(time_diff_cor(Tabela1[[#This Row],[Largada]],Tabela1[[#This Row],[Chegada]]),"00:20:00:000")</f>
        <v>00:20:00:000</v>
      </c>
      <c r="F221" s="1" t="str" cm="1">
        <f t="array" ref="F221">IFERROR(time_diff(Tabela1[[#This Row],[TEMPO]],E220),"00:00:00:000")</f>
        <v>00:00:00:00</v>
      </c>
      <c r="G221" s="1" t="str" cm="1">
        <f t="array" aca="1" ref="G221" ca="1">IF(Tabela1[[#This Row],[N°]]=D220,time_sum(Tabela1[[#This Row],[TEMPO]],E220),Tabela1[[#This Row],[TEMPO]])</f>
        <v>00:40:00:000</v>
      </c>
      <c r="H221" s="1" t="e">
        <f>VLOOKUP(C221,LARGADA!A:B,2,FALSE)</f>
        <v>#N/A</v>
      </c>
      <c r="I221" s="1" t="e">
        <f>VLOOKUP(C221,CHEGADA!A:B,2,FALSE)</f>
        <v>#N/A</v>
      </c>
    </row>
    <row r="222" spans="4:9">
      <c r="D222" s="2" t="str">
        <f>IFERROR(LEFT(Tabela1[[#This Row],[N°S]],LEN(Tabela1[[#This Row],[N°S]])-1),"")</f>
        <v/>
      </c>
      <c r="E222" s="1" t="str" cm="1">
        <f t="array" ref="E222">IFERROR(time_diff_cor(Tabela1[[#This Row],[Largada]],Tabela1[[#This Row],[Chegada]]),"00:20:00:000")</f>
        <v>00:20:00:000</v>
      </c>
      <c r="F222" s="1" t="str" cm="1">
        <f t="array" ref="F222">IFERROR(time_diff(Tabela1[[#This Row],[TEMPO]],E221),"00:00:00:000")</f>
        <v>00:00:00:00</v>
      </c>
      <c r="G222" s="1" t="str" cm="1">
        <f t="array" aca="1" ref="G222" ca="1">IF(Tabela1[[#This Row],[N°]]=D221,time_sum(Tabela1[[#This Row],[TEMPO]],E221),Tabela1[[#This Row],[TEMPO]])</f>
        <v>00:40:00:000</v>
      </c>
      <c r="H222" s="1" t="e">
        <f>VLOOKUP(C222,LARGADA!A:B,2,FALSE)</f>
        <v>#N/A</v>
      </c>
      <c r="I222" s="1" t="e">
        <f>VLOOKUP(C222,CHEGADA!A:B,2,FALSE)</f>
        <v>#N/A</v>
      </c>
    </row>
    <row r="223" spans="4:9">
      <c r="D223" s="2" t="str">
        <f>IFERROR(LEFT(Tabela1[[#This Row],[N°S]],LEN(Tabela1[[#This Row],[N°S]])-1),"")</f>
        <v/>
      </c>
      <c r="E223" s="1" t="str" cm="1">
        <f t="array" ref="E223">IFERROR(time_diff_cor(Tabela1[[#This Row],[Largada]],Tabela1[[#This Row],[Chegada]]),"00:20:00:000")</f>
        <v>00:20:00:000</v>
      </c>
      <c r="F223" s="1" t="str" cm="1">
        <f t="array" ref="F223">IFERROR(time_diff(Tabela1[[#This Row],[TEMPO]],E222),"00:00:00:000")</f>
        <v>00:00:00:00</v>
      </c>
      <c r="G223" s="1" t="str" cm="1">
        <f t="array" aca="1" ref="G223" ca="1">IF(Tabela1[[#This Row],[N°]]=D222,time_sum(Tabela1[[#This Row],[TEMPO]],E222),Tabela1[[#This Row],[TEMPO]])</f>
        <v>00:40:00:000</v>
      </c>
      <c r="H223" s="1" t="e">
        <f>VLOOKUP(C223,LARGADA!A:B,2,FALSE)</f>
        <v>#N/A</v>
      </c>
      <c r="I223" s="1" t="e">
        <f>VLOOKUP(C223,CHEGADA!A:B,2,FALSE)</f>
        <v>#N/A</v>
      </c>
    </row>
    <row r="224" spans="4:9">
      <c r="D224" s="2" t="str">
        <f>IFERROR(LEFT(Tabela1[[#This Row],[N°S]],LEN(Tabela1[[#This Row],[N°S]])-1),"")</f>
        <v/>
      </c>
      <c r="E224" s="1" t="str" cm="1">
        <f t="array" ref="E224">IFERROR(time_diff_cor(Tabela1[[#This Row],[Largada]],Tabela1[[#This Row],[Chegada]]),"00:20:00:000")</f>
        <v>00:20:00:000</v>
      </c>
      <c r="F224" s="1" t="str" cm="1">
        <f t="array" ref="F224">IFERROR(time_diff(Tabela1[[#This Row],[TEMPO]],E223),"00:00:00:000")</f>
        <v>00:00:00:00</v>
      </c>
      <c r="G224" s="1" t="str" cm="1">
        <f t="array" aca="1" ref="G224" ca="1">IF(Tabela1[[#This Row],[N°]]=D223,time_sum(Tabela1[[#This Row],[TEMPO]],E223),Tabela1[[#This Row],[TEMPO]])</f>
        <v>00:40:00:000</v>
      </c>
      <c r="H224" s="1" t="e">
        <f>VLOOKUP(C224,LARGADA!A:B,2,FALSE)</f>
        <v>#N/A</v>
      </c>
      <c r="I224" s="1" t="e">
        <f>VLOOKUP(C224,CHEGADA!A:B,2,FALSE)</f>
        <v>#N/A</v>
      </c>
    </row>
    <row r="225" spans="4:9">
      <c r="D225" s="2" t="str">
        <f>IFERROR(LEFT(Tabela1[[#This Row],[N°S]],LEN(Tabela1[[#This Row],[N°S]])-1),"")</f>
        <v/>
      </c>
      <c r="E225" s="1" t="str" cm="1">
        <f t="array" ref="E225">IFERROR(time_diff_cor(Tabela1[[#This Row],[Largada]],Tabela1[[#This Row],[Chegada]]),"00:20:00:000")</f>
        <v>00:20:00:000</v>
      </c>
      <c r="F225" s="1" t="str" cm="1">
        <f t="array" ref="F225">IFERROR(time_diff(Tabela1[[#This Row],[TEMPO]],E224),"00:00:00:000")</f>
        <v>00:00:00:00</v>
      </c>
      <c r="G225" s="1" t="str" cm="1">
        <f t="array" aca="1" ref="G225" ca="1">IF(Tabela1[[#This Row],[N°]]=D224,time_sum(Tabela1[[#This Row],[TEMPO]],E224),Tabela1[[#This Row],[TEMPO]])</f>
        <v>00:40:00:000</v>
      </c>
      <c r="H225" s="1" t="e">
        <f>VLOOKUP(C225,LARGADA!A:B,2,FALSE)</f>
        <v>#N/A</v>
      </c>
      <c r="I225" s="1" t="e">
        <f>VLOOKUP(C225,CHEGADA!A:B,2,FALSE)</f>
        <v>#N/A</v>
      </c>
    </row>
    <row r="226" spans="4:9">
      <c r="D226" s="2" t="str">
        <f>IFERROR(LEFT(Tabela1[[#This Row],[N°S]],LEN(Tabela1[[#This Row],[N°S]])-1),"")</f>
        <v/>
      </c>
      <c r="E226" s="1" t="str" cm="1">
        <f t="array" ref="E226">IFERROR(time_diff_cor(Tabela1[[#This Row],[Largada]],Tabela1[[#This Row],[Chegada]]),"00:20:00:000")</f>
        <v>00:20:00:000</v>
      </c>
      <c r="F226" s="1" t="str" cm="1">
        <f t="array" ref="F226">IFERROR(time_diff(Tabela1[[#This Row],[TEMPO]],E225),"00:00:00:000")</f>
        <v>00:00:00:00</v>
      </c>
      <c r="G226" s="1" t="str" cm="1">
        <f t="array" aca="1" ref="G226" ca="1">IF(Tabela1[[#This Row],[N°]]=D225,time_sum(Tabela1[[#This Row],[TEMPO]],E225),Tabela1[[#This Row],[TEMPO]])</f>
        <v>00:40:00:000</v>
      </c>
      <c r="H226" s="1" t="e">
        <f>VLOOKUP(C226,LARGADA!A:B,2,FALSE)</f>
        <v>#N/A</v>
      </c>
      <c r="I226" s="1" t="e">
        <f>VLOOKUP(C226,CHEGADA!A:B,2,FALSE)</f>
        <v>#N/A</v>
      </c>
    </row>
    <row r="227" spans="4:9">
      <c r="D227" s="2" t="str">
        <f>IFERROR(LEFT(Tabela1[[#This Row],[N°S]],LEN(Tabela1[[#This Row],[N°S]])-1),"")</f>
        <v/>
      </c>
      <c r="E227" s="1" t="str" cm="1">
        <f t="array" ref="E227">IFERROR(time_diff_cor(Tabela1[[#This Row],[Largada]],Tabela1[[#This Row],[Chegada]]),"00:20:00:000")</f>
        <v>00:20:00:000</v>
      </c>
      <c r="F227" s="1" t="str" cm="1">
        <f t="array" ref="F227">IFERROR(time_diff(Tabela1[[#This Row],[TEMPO]],E226),"00:00:00:000")</f>
        <v>00:00:00:00</v>
      </c>
      <c r="G227" s="1" t="str" cm="1">
        <f t="array" aca="1" ref="G227" ca="1">IF(Tabela1[[#This Row],[N°]]=D226,time_sum(Tabela1[[#This Row],[TEMPO]],E226),Tabela1[[#This Row],[TEMPO]])</f>
        <v>00:40:00:000</v>
      </c>
      <c r="H227" s="1" t="e">
        <f>VLOOKUP(C227,LARGADA!A:B,2,FALSE)</f>
        <v>#N/A</v>
      </c>
      <c r="I227" s="1" t="e">
        <f>VLOOKUP(C227,CHEGADA!A:B,2,FALSE)</f>
        <v>#N/A</v>
      </c>
    </row>
    <row r="228" spans="4:9">
      <c r="D228" s="2" t="str">
        <f>IFERROR(LEFT(Tabela1[[#This Row],[N°S]],LEN(Tabela1[[#This Row],[N°S]])-1),"")</f>
        <v/>
      </c>
      <c r="E228" s="1" t="str" cm="1">
        <f t="array" ref="E228">IFERROR(time_diff_cor(Tabela1[[#This Row],[Largada]],Tabela1[[#This Row],[Chegada]]),"00:20:00:000")</f>
        <v>00:20:00:000</v>
      </c>
      <c r="F228" s="1" t="str" cm="1">
        <f t="array" ref="F228">IFERROR(time_diff(Tabela1[[#This Row],[TEMPO]],E227),"00:00:00:000")</f>
        <v>00:00:00:00</v>
      </c>
      <c r="G228" s="1" t="str" cm="1">
        <f t="array" aca="1" ref="G228" ca="1">IF(Tabela1[[#This Row],[N°]]=D227,time_sum(Tabela1[[#This Row],[TEMPO]],E227),Tabela1[[#This Row],[TEMPO]])</f>
        <v>00:40:00:000</v>
      </c>
      <c r="H228" s="1" t="e">
        <f>VLOOKUP(C228,LARGADA!A:B,2,FALSE)</f>
        <v>#N/A</v>
      </c>
      <c r="I228" s="1" t="e">
        <f>VLOOKUP(C228,CHEGADA!A:B,2,FALSE)</f>
        <v>#N/A</v>
      </c>
    </row>
    <row r="229" spans="4:9">
      <c r="D229" s="2" t="str">
        <f>IFERROR(LEFT(Tabela1[[#This Row],[N°S]],LEN(Tabela1[[#This Row],[N°S]])-1),"")</f>
        <v/>
      </c>
      <c r="E229" s="1" t="str" cm="1">
        <f t="array" ref="E229">IFERROR(time_diff_cor(Tabela1[[#This Row],[Largada]],Tabela1[[#This Row],[Chegada]]),"00:20:00:000")</f>
        <v>00:20:00:000</v>
      </c>
      <c r="F229" s="1" t="str" cm="1">
        <f t="array" ref="F229">IFERROR(time_diff(Tabela1[[#This Row],[TEMPO]],E228),"00:00:00:000")</f>
        <v>00:00:00:00</v>
      </c>
      <c r="G229" s="1" t="str" cm="1">
        <f t="array" aca="1" ref="G229" ca="1">IF(Tabela1[[#This Row],[N°]]=D228,time_sum(Tabela1[[#This Row],[TEMPO]],E228),Tabela1[[#This Row],[TEMPO]])</f>
        <v>00:40:00:000</v>
      </c>
      <c r="H229" s="1" t="e">
        <f>VLOOKUP(C229,LARGADA!A:B,2,FALSE)</f>
        <v>#N/A</v>
      </c>
      <c r="I229" s="1" t="e">
        <f>VLOOKUP(C229,CHEGADA!A:B,2,FALSE)</f>
        <v>#N/A</v>
      </c>
    </row>
    <row r="230" spans="4:9">
      <c r="D230" s="2" t="str">
        <f>IFERROR(LEFT(Tabela1[[#This Row],[N°S]],LEN(Tabela1[[#This Row],[N°S]])-1),"")</f>
        <v/>
      </c>
      <c r="E230" s="1" t="str" cm="1">
        <f t="array" ref="E230">IFERROR(time_diff_cor(Tabela1[[#This Row],[Largada]],Tabela1[[#This Row],[Chegada]]),"00:20:00:000")</f>
        <v>00:20:00:000</v>
      </c>
      <c r="F230" s="1" t="str" cm="1">
        <f t="array" ref="F230">IFERROR(time_diff(Tabela1[[#This Row],[TEMPO]],E229),"00:00:00:000")</f>
        <v>00:00:00:00</v>
      </c>
      <c r="G230" s="1" t="str" cm="1">
        <f t="array" aca="1" ref="G230" ca="1">IF(Tabela1[[#This Row],[N°]]=D229,time_sum(Tabela1[[#This Row],[TEMPO]],E229),Tabela1[[#This Row],[TEMPO]])</f>
        <v>00:40:00:000</v>
      </c>
      <c r="H230" s="1" t="e">
        <f>VLOOKUP(C230,LARGADA!A:B,2,FALSE)</f>
        <v>#N/A</v>
      </c>
      <c r="I230" s="1" t="e">
        <f>VLOOKUP(C230,CHEGADA!A:B,2,FALSE)</f>
        <v>#N/A</v>
      </c>
    </row>
    <row r="231" spans="4:9">
      <c r="D231" s="2" t="str">
        <f>IFERROR(LEFT(Tabela1[[#This Row],[N°S]],LEN(Tabela1[[#This Row],[N°S]])-1),"")</f>
        <v/>
      </c>
      <c r="E231" s="1" t="str" cm="1">
        <f t="array" ref="E231">IFERROR(time_diff_cor(Tabela1[[#This Row],[Largada]],Tabela1[[#This Row],[Chegada]]),"00:20:00:000")</f>
        <v>00:20:00:000</v>
      </c>
      <c r="F231" s="1" t="str" cm="1">
        <f t="array" ref="F231">IFERROR(time_diff(Tabela1[[#This Row],[TEMPO]],E230),"00:00:00:000")</f>
        <v>00:00:00:00</v>
      </c>
      <c r="G231" s="1" t="str" cm="1">
        <f t="array" aca="1" ref="G231" ca="1">IF(Tabela1[[#This Row],[N°]]=D230,time_sum(Tabela1[[#This Row],[TEMPO]],E230),Tabela1[[#This Row],[TEMPO]])</f>
        <v>00:40:00:000</v>
      </c>
      <c r="H231" s="1" t="e">
        <f>VLOOKUP(C231,LARGADA!A:B,2,FALSE)</f>
        <v>#N/A</v>
      </c>
      <c r="I231" s="1" t="e">
        <f>VLOOKUP(C231,CHEGADA!A:B,2,FALSE)</f>
        <v>#N/A</v>
      </c>
    </row>
    <row r="232" spans="4:9">
      <c r="D232" s="2" t="str">
        <f>IFERROR(LEFT(Tabela1[[#This Row],[N°S]],LEN(Tabela1[[#This Row],[N°S]])-1),"")</f>
        <v/>
      </c>
      <c r="E232" s="1" t="str" cm="1">
        <f t="array" ref="E232">IFERROR(time_diff_cor(Tabela1[[#This Row],[Largada]],Tabela1[[#This Row],[Chegada]]),"00:20:00:000")</f>
        <v>00:20:00:000</v>
      </c>
      <c r="F232" s="1" t="str" cm="1">
        <f t="array" ref="F232">IFERROR(time_diff(Tabela1[[#This Row],[TEMPO]],E231),"00:00:00:000")</f>
        <v>00:00:00:00</v>
      </c>
      <c r="G232" s="1" t="str" cm="1">
        <f t="array" aca="1" ref="G232" ca="1">IF(Tabela1[[#This Row],[N°]]=D231,time_sum(Tabela1[[#This Row],[TEMPO]],E231),Tabela1[[#This Row],[TEMPO]])</f>
        <v>00:40:00:000</v>
      </c>
      <c r="H232" s="1" t="e">
        <f>VLOOKUP(C232,LARGADA!A:B,2,FALSE)</f>
        <v>#N/A</v>
      </c>
      <c r="I232" s="1" t="e">
        <f>VLOOKUP(C232,CHEGADA!A:B,2,FALSE)</f>
        <v>#N/A</v>
      </c>
    </row>
    <row r="233" spans="4:9">
      <c r="D233" s="2" t="str">
        <f>IFERROR(LEFT(Tabela1[[#This Row],[N°S]],LEN(Tabela1[[#This Row],[N°S]])-1),"")</f>
        <v/>
      </c>
      <c r="E233" s="1" t="str" cm="1">
        <f t="array" ref="E233">IFERROR(time_diff_cor(Tabela1[[#This Row],[Largada]],Tabela1[[#This Row],[Chegada]]),"00:20:00:000")</f>
        <v>00:20:00:000</v>
      </c>
      <c r="F233" s="1" t="str" cm="1">
        <f t="array" ref="F233">IFERROR(time_diff(Tabela1[[#This Row],[TEMPO]],E232),"00:00:00:000")</f>
        <v>00:00:00:00</v>
      </c>
      <c r="G233" s="1" t="str" cm="1">
        <f t="array" aca="1" ref="G233" ca="1">IF(Tabela1[[#This Row],[N°]]=D232,time_sum(Tabela1[[#This Row],[TEMPO]],E232),Tabela1[[#This Row],[TEMPO]])</f>
        <v>00:40:00:000</v>
      </c>
      <c r="H233" s="1" t="e">
        <f>VLOOKUP(C233,LARGADA!A:B,2,FALSE)</f>
        <v>#N/A</v>
      </c>
      <c r="I233" s="1" t="e">
        <f>VLOOKUP(C233,CHEGADA!A:B,2,FALSE)</f>
        <v>#N/A</v>
      </c>
    </row>
    <row r="234" spans="4:9">
      <c r="D234" s="2" t="str">
        <f>IFERROR(LEFT(Tabela1[[#This Row],[N°S]],LEN(Tabela1[[#This Row],[N°S]])-1),"")</f>
        <v/>
      </c>
      <c r="E234" s="1" t="str" cm="1">
        <f t="array" ref="E234">IFERROR(time_diff_cor(Tabela1[[#This Row],[Largada]],Tabela1[[#This Row],[Chegada]]),"00:20:00:000")</f>
        <v>00:20:00:000</v>
      </c>
      <c r="F234" s="1" t="str" cm="1">
        <f t="array" ref="F234">IFERROR(time_diff(Tabela1[[#This Row],[TEMPO]],E233),"00:00:00:000")</f>
        <v>00:00:00:00</v>
      </c>
      <c r="G234" s="1" t="str" cm="1">
        <f t="array" aca="1" ref="G234" ca="1">IF(Tabela1[[#This Row],[N°]]=D233,time_sum(Tabela1[[#This Row],[TEMPO]],E233),Tabela1[[#This Row],[TEMPO]])</f>
        <v>00:40:00:000</v>
      </c>
      <c r="H234" s="1" t="e">
        <f>VLOOKUP(C234,LARGADA!A:B,2,FALSE)</f>
        <v>#N/A</v>
      </c>
      <c r="I234" s="1" t="e">
        <f>VLOOKUP(C234,CHEGADA!A:B,2,FALSE)</f>
        <v>#N/A</v>
      </c>
    </row>
    <row r="235" spans="4:9">
      <c r="D235" s="2" t="str">
        <f>IFERROR(LEFT(Tabela1[[#This Row],[N°S]],LEN(Tabela1[[#This Row],[N°S]])-1),"")</f>
        <v/>
      </c>
      <c r="E235" s="1" t="str" cm="1">
        <f t="array" ref="E235">IFERROR(time_diff_cor(Tabela1[[#This Row],[Largada]],Tabela1[[#This Row],[Chegada]]),"00:20:00:000")</f>
        <v>00:20:00:000</v>
      </c>
      <c r="F235" s="1" t="str" cm="1">
        <f t="array" ref="F235">IFERROR(time_diff(Tabela1[[#This Row],[TEMPO]],E234),"00:00:00:000")</f>
        <v>00:00:00:00</v>
      </c>
      <c r="G235" s="1" t="str" cm="1">
        <f t="array" aca="1" ref="G235" ca="1">IF(Tabela1[[#This Row],[N°]]=D234,time_sum(Tabela1[[#This Row],[TEMPO]],E234),Tabela1[[#This Row],[TEMPO]])</f>
        <v>00:40:00:000</v>
      </c>
      <c r="H235" s="1" t="e">
        <f>VLOOKUP(C235,LARGADA!A:B,2,FALSE)</f>
        <v>#N/A</v>
      </c>
      <c r="I235" s="1" t="e">
        <f>VLOOKUP(C235,CHEGADA!A:B,2,FALSE)</f>
        <v>#N/A</v>
      </c>
    </row>
    <row r="236" spans="4:9">
      <c r="D236" s="2" t="str">
        <f>IFERROR(LEFT(Tabela1[[#This Row],[N°S]],LEN(Tabela1[[#This Row],[N°S]])-1),"")</f>
        <v/>
      </c>
      <c r="E236" s="1" t="str" cm="1">
        <f t="array" ref="E236">IFERROR(time_diff_cor(Tabela1[[#This Row],[Largada]],Tabela1[[#This Row],[Chegada]]),"00:20:00:000")</f>
        <v>00:20:00:000</v>
      </c>
      <c r="F236" s="1" t="str" cm="1">
        <f t="array" ref="F236">IFERROR(time_diff(Tabela1[[#This Row],[TEMPO]],E235),"00:00:00:000")</f>
        <v>00:00:00:00</v>
      </c>
      <c r="G236" s="1" t="str" cm="1">
        <f t="array" aca="1" ref="G236" ca="1">IF(Tabela1[[#This Row],[N°]]=D235,time_sum(Tabela1[[#This Row],[TEMPO]],E235),Tabela1[[#This Row],[TEMPO]])</f>
        <v>00:40:00:000</v>
      </c>
      <c r="H236" s="1" t="e">
        <f>VLOOKUP(C236,LARGADA!A:B,2,FALSE)</f>
        <v>#N/A</v>
      </c>
      <c r="I236" s="1" t="e">
        <f>VLOOKUP(C236,CHEGADA!A:B,2,FALSE)</f>
        <v>#N/A</v>
      </c>
    </row>
    <row r="237" spans="4:9">
      <c r="D237" s="2" t="str">
        <f>IFERROR(LEFT(Tabela1[[#This Row],[N°S]],LEN(Tabela1[[#This Row],[N°S]])-1),"")</f>
        <v/>
      </c>
      <c r="E237" s="1" t="str" cm="1">
        <f t="array" ref="E237">IFERROR(time_diff_cor(Tabela1[[#This Row],[Largada]],Tabela1[[#This Row],[Chegada]]),"00:20:00:000")</f>
        <v>00:20:00:000</v>
      </c>
      <c r="F237" s="1" t="str" cm="1">
        <f t="array" ref="F237">IFERROR(time_diff(Tabela1[[#This Row],[TEMPO]],E236),"00:00:00:000")</f>
        <v>00:00:00:00</v>
      </c>
      <c r="G237" s="1" t="str" cm="1">
        <f t="array" aca="1" ref="G237" ca="1">IF(Tabela1[[#This Row],[N°]]=D236,time_sum(Tabela1[[#This Row],[TEMPO]],E236),Tabela1[[#This Row],[TEMPO]])</f>
        <v>00:40:00:000</v>
      </c>
      <c r="H237" s="1" t="e">
        <f>VLOOKUP(C237,LARGADA!A:B,2,FALSE)</f>
        <v>#N/A</v>
      </c>
      <c r="I237" s="1" t="e">
        <f>VLOOKUP(C237,CHEGADA!A:B,2,FALSE)</f>
        <v>#N/A</v>
      </c>
    </row>
    <row r="238" spans="4:9">
      <c r="D238" s="2" t="str">
        <f>IFERROR(LEFT(Tabela1[[#This Row],[N°S]],LEN(Tabela1[[#This Row],[N°S]])-1),"")</f>
        <v/>
      </c>
      <c r="E238" s="1" t="str" cm="1">
        <f t="array" ref="E238">IFERROR(time_diff_cor(Tabela1[[#This Row],[Largada]],Tabela1[[#This Row],[Chegada]]),"00:20:00:000")</f>
        <v>00:20:00:000</v>
      </c>
      <c r="F238" s="1" t="str" cm="1">
        <f t="array" ref="F238">IFERROR(time_diff(Tabela1[[#This Row],[TEMPO]],E237),"00:00:00:000")</f>
        <v>00:00:00:00</v>
      </c>
      <c r="G238" s="1" t="str" cm="1">
        <f t="array" aca="1" ref="G238" ca="1">IF(Tabela1[[#This Row],[N°]]=D237,time_sum(Tabela1[[#This Row],[TEMPO]],E237),Tabela1[[#This Row],[TEMPO]])</f>
        <v>00:40:00:000</v>
      </c>
      <c r="H238" s="1" t="e">
        <f>VLOOKUP(C238,LARGADA!A:B,2,FALSE)</f>
        <v>#N/A</v>
      </c>
      <c r="I238" s="1" t="e">
        <f>VLOOKUP(C238,CHEGADA!A:B,2,FALSE)</f>
        <v>#N/A</v>
      </c>
    </row>
    <row r="239" spans="4:9">
      <c r="D239" s="2" t="str">
        <f>IFERROR(LEFT(Tabela1[[#This Row],[N°S]],LEN(Tabela1[[#This Row],[N°S]])-1),"")</f>
        <v/>
      </c>
      <c r="E239" s="1" t="str" cm="1">
        <f t="array" ref="E239">IFERROR(time_diff_cor(Tabela1[[#This Row],[Largada]],Tabela1[[#This Row],[Chegada]]),"00:20:00:000")</f>
        <v>00:20:00:000</v>
      </c>
      <c r="F239" s="1" t="str" cm="1">
        <f t="array" ref="F239">IFERROR(time_diff(Tabela1[[#This Row],[TEMPO]],E238),"00:00:00:000")</f>
        <v>00:00:00:00</v>
      </c>
      <c r="G239" s="1" t="str" cm="1">
        <f t="array" aca="1" ref="G239" ca="1">IF(Tabela1[[#This Row],[N°]]=D238,time_sum(Tabela1[[#This Row],[TEMPO]],E238),Tabela1[[#This Row],[TEMPO]])</f>
        <v>00:40:00:000</v>
      </c>
      <c r="H239" s="1" t="e">
        <f>VLOOKUP(C239,LARGADA!A:B,2,FALSE)</f>
        <v>#N/A</v>
      </c>
      <c r="I239" s="1" t="e">
        <f>VLOOKUP(C239,CHEGADA!A:B,2,FALSE)</f>
        <v>#N/A</v>
      </c>
    </row>
    <row r="240" spans="4:9">
      <c r="D240" s="2" t="str">
        <f>IFERROR(LEFT(Tabela1[[#This Row],[N°S]],LEN(Tabela1[[#This Row],[N°S]])-1),"")</f>
        <v/>
      </c>
      <c r="E240" s="1" t="str" cm="1">
        <f t="array" ref="E240">IFERROR(time_diff_cor(Tabela1[[#This Row],[Largada]],Tabela1[[#This Row],[Chegada]]),"00:20:00:000")</f>
        <v>00:20:00:000</v>
      </c>
      <c r="F240" s="1" t="str" cm="1">
        <f t="array" ref="F240">IFERROR(time_diff(Tabela1[[#This Row],[TEMPO]],E239),"00:00:00:000")</f>
        <v>00:00:00:00</v>
      </c>
      <c r="G240" s="1" t="str" cm="1">
        <f t="array" aca="1" ref="G240" ca="1">IF(Tabela1[[#This Row],[N°]]=D239,time_sum(Tabela1[[#This Row],[TEMPO]],E239),Tabela1[[#This Row],[TEMPO]])</f>
        <v>00:40:00:000</v>
      </c>
      <c r="H240" s="1" t="e">
        <f>VLOOKUP(C240,LARGADA!A:B,2,FALSE)</f>
        <v>#N/A</v>
      </c>
      <c r="I240" s="1" t="e">
        <f>VLOOKUP(C240,CHEGADA!A:B,2,FALSE)</f>
        <v>#N/A</v>
      </c>
    </row>
    <row r="241" spans="4:9">
      <c r="D241" s="2" t="str">
        <f>IFERROR(LEFT(Tabela1[[#This Row],[N°S]],LEN(Tabela1[[#This Row],[N°S]])-1),"")</f>
        <v/>
      </c>
      <c r="E241" s="1" t="str" cm="1">
        <f t="array" ref="E241">IFERROR(time_diff_cor(Tabela1[[#This Row],[Largada]],Tabela1[[#This Row],[Chegada]]),"00:20:00:000")</f>
        <v>00:20:00:000</v>
      </c>
      <c r="F241" s="1" t="str" cm="1">
        <f t="array" ref="F241">IFERROR(time_diff(Tabela1[[#This Row],[TEMPO]],E240),"00:00:00:000")</f>
        <v>00:00:00:00</v>
      </c>
      <c r="G241" s="1" t="str" cm="1">
        <f t="array" aca="1" ref="G241" ca="1">IF(Tabela1[[#This Row],[N°]]=D240,time_sum(Tabela1[[#This Row],[TEMPO]],E240),Tabela1[[#This Row],[TEMPO]])</f>
        <v>00:40:00:000</v>
      </c>
      <c r="H241" s="1" t="e">
        <f>VLOOKUP(C241,LARGADA!A:B,2,FALSE)</f>
        <v>#N/A</v>
      </c>
      <c r="I241" s="1" t="e">
        <f>VLOOKUP(C241,CHEGADA!A:B,2,FALSE)</f>
        <v>#N/A</v>
      </c>
    </row>
    <row r="242" spans="4:9">
      <c r="D242" s="2" t="str">
        <f>IFERROR(LEFT(Tabela1[[#This Row],[N°S]],LEN(Tabela1[[#This Row],[N°S]])-1),"")</f>
        <v/>
      </c>
      <c r="E242" s="1" t="str" cm="1">
        <f t="array" ref="E242">IFERROR(time_diff_cor(Tabela1[[#This Row],[Largada]],Tabela1[[#This Row],[Chegada]]),"00:20:00:000")</f>
        <v>00:20:00:000</v>
      </c>
      <c r="F242" s="1" t="str" cm="1">
        <f t="array" ref="F242">IFERROR(time_diff(Tabela1[[#This Row],[TEMPO]],E241),"00:00:00:000")</f>
        <v>00:00:00:00</v>
      </c>
      <c r="G242" s="1" t="str" cm="1">
        <f t="array" aca="1" ref="G242" ca="1">IF(Tabela1[[#This Row],[N°]]=D241,time_sum(Tabela1[[#This Row],[TEMPO]],E241),Tabela1[[#This Row],[TEMPO]])</f>
        <v>00:40:00:000</v>
      </c>
      <c r="H242" s="1" t="e">
        <f>VLOOKUP(C242,LARGADA!A:B,2,FALSE)</f>
        <v>#N/A</v>
      </c>
      <c r="I242" s="1" t="e">
        <f>VLOOKUP(C242,CHEGADA!A:B,2,FALSE)</f>
        <v>#N/A</v>
      </c>
    </row>
    <row r="243" spans="4:9">
      <c r="D243" s="2" t="str">
        <f>IFERROR(LEFT(Tabela1[[#This Row],[N°S]],LEN(Tabela1[[#This Row],[N°S]])-1),"")</f>
        <v/>
      </c>
      <c r="E243" s="1" t="str" cm="1">
        <f t="array" ref="E243">IFERROR(time_diff_cor(Tabela1[[#This Row],[Largada]],Tabela1[[#This Row],[Chegada]]),"00:20:00:000")</f>
        <v>00:20:00:000</v>
      </c>
      <c r="F243" s="1" t="str" cm="1">
        <f t="array" ref="F243">IFERROR(time_diff(Tabela1[[#This Row],[TEMPO]],E242),"00:00:00:000")</f>
        <v>00:00:00:00</v>
      </c>
      <c r="G243" s="1" t="str" cm="1">
        <f t="array" aca="1" ref="G243" ca="1">IF(Tabela1[[#This Row],[N°]]=D242,time_sum(Tabela1[[#This Row],[TEMPO]],E242),Tabela1[[#This Row],[TEMPO]])</f>
        <v>00:40:00:000</v>
      </c>
      <c r="H243" s="1" t="e">
        <f>VLOOKUP(C243,LARGADA!A:B,2,FALSE)</f>
        <v>#N/A</v>
      </c>
      <c r="I243" s="1" t="e">
        <f>VLOOKUP(C243,CHEGADA!A:B,2,FALSE)</f>
        <v>#N/A</v>
      </c>
    </row>
    <row r="244" spans="4:9">
      <c r="D244" s="2" t="str">
        <f>IFERROR(LEFT(Tabela1[[#This Row],[N°S]],LEN(Tabela1[[#This Row],[N°S]])-1),"")</f>
        <v/>
      </c>
      <c r="E244" s="1" t="str" cm="1">
        <f t="array" ref="E244">IFERROR(time_diff_cor(Tabela1[[#This Row],[Largada]],Tabela1[[#This Row],[Chegada]]),"00:20:00:000")</f>
        <v>00:20:00:000</v>
      </c>
      <c r="F244" s="1" t="str" cm="1">
        <f t="array" ref="F244">IFERROR(time_diff(Tabela1[[#This Row],[TEMPO]],E243),"00:00:00:000")</f>
        <v>00:00:00:00</v>
      </c>
      <c r="G244" s="1" t="str" cm="1">
        <f t="array" aca="1" ref="G244" ca="1">IF(Tabela1[[#This Row],[N°]]=D243,time_sum(Tabela1[[#This Row],[TEMPO]],E243),Tabela1[[#This Row],[TEMPO]])</f>
        <v>00:40:00:000</v>
      </c>
      <c r="H244" s="1" t="e">
        <f>VLOOKUP(C244,LARGADA!A:B,2,FALSE)</f>
        <v>#N/A</v>
      </c>
      <c r="I244" s="1" t="e">
        <f>VLOOKUP(C244,CHEGADA!A:B,2,FALSE)</f>
        <v>#N/A</v>
      </c>
    </row>
    <row r="245" spans="4:9">
      <c r="D245" s="2" t="str">
        <f>IFERROR(LEFT(Tabela1[[#This Row],[N°S]],LEN(Tabela1[[#This Row],[N°S]])-1),"")</f>
        <v/>
      </c>
      <c r="E245" s="1" t="str" cm="1">
        <f t="array" ref="E245">IFERROR(time_diff_cor(Tabela1[[#This Row],[Largada]],Tabela1[[#This Row],[Chegada]]),"00:20:00:000")</f>
        <v>00:20:00:000</v>
      </c>
      <c r="F245" s="1" t="str" cm="1">
        <f t="array" ref="F245">IFERROR(time_diff(Tabela1[[#This Row],[TEMPO]],E244),"00:00:00:000")</f>
        <v>00:00:00:00</v>
      </c>
      <c r="G245" s="1" t="str" cm="1">
        <f t="array" aca="1" ref="G245" ca="1">IF(Tabela1[[#This Row],[N°]]=D244,time_sum(Tabela1[[#This Row],[TEMPO]],E244),Tabela1[[#This Row],[TEMPO]])</f>
        <v>00:40:00:000</v>
      </c>
      <c r="H245" s="1" t="e">
        <f>VLOOKUP(C245,LARGADA!A:B,2,FALSE)</f>
        <v>#N/A</v>
      </c>
      <c r="I245" s="1" t="e">
        <f>VLOOKUP(C245,CHEGADA!A:B,2,FALSE)</f>
        <v>#N/A</v>
      </c>
    </row>
    <row r="246" spans="4:9">
      <c r="D246" s="2" t="str">
        <f>IFERROR(LEFT(Tabela1[[#This Row],[N°S]],LEN(Tabela1[[#This Row],[N°S]])-1),"")</f>
        <v/>
      </c>
      <c r="E246" s="1" t="str" cm="1">
        <f t="array" ref="E246">IFERROR(time_diff_cor(Tabela1[[#This Row],[Largada]],Tabela1[[#This Row],[Chegada]]),"00:20:00:000")</f>
        <v>00:20:00:000</v>
      </c>
      <c r="F246" s="1" t="str" cm="1">
        <f t="array" ref="F246">IFERROR(time_diff(Tabela1[[#This Row],[TEMPO]],E245),"00:00:00:000")</f>
        <v>00:00:00:00</v>
      </c>
      <c r="G246" s="1" t="str" cm="1">
        <f t="array" aca="1" ref="G246" ca="1">IF(Tabela1[[#This Row],[N°]]=D245,time_sum(Tabela1[[#This Row],[TEMPO]],E245),Tabela1[[#This Row],[TEMPO]])</f>
        <v>00:40:00:000</v>
      </c>
      <c r="H246" s="1" t="e">
        <f>VLOOKUP(C246,LARGADA!A:B,2,FALSE)</f>
        <v>#N/A</v>
      </c>
      <c r="I246" s="1" t="e">
        <f>VLOOKUP(C246,CHEGADA!A:B,2,FALSE)</f>
        <v>#N/A</v>
      </c>
    </row>
    <row r="247" spans="4:9">
      <c r="D247" s="2" t="str">
        <f>IFERROR(LEFT(Tabela1[[#This Row],[N°S]],LEN(Tabela1[[#This Row],[N°S]])-1),"")</f>
        <v/>
      </c>
      <c r="E247" s="1" t="str" cm="1">
        <f t="array" ref="E247">IFERROR(time_diff_cor(Tabela1[[#This Row],[Largada]],Tabela1[[#This Row],[Chegada]]),"00:20:00:000")</f>
        <v>00:20:00:000</v>
      </c>
      <c r="F247" s="1" t="str" cm="1">
        <f t="array" ref="F247">IFERROR(time_diff(Tabela1[[#This Row],[TEMPO]],E246),"00:00:00:000")</f>
        <v>00:00:00:00</v>
      </c>
      <c r="G247" s="1" t="str" cm="1">
        <f t="array" aca="1" ref="G247" ca="1">IF(Tabela1[[#This Row],[N°]]=D246,time_sum(Tabela1[[#This Row],[TEMPO]],E246),Tabela1[[#This Row],[TEMPO]])</f>
        <v>00:40:00:000</v>
      </c>
      <c r="H247" s="1" t="e">
        <f>VLOOKUP(C247,LARGADA!A:B,2,FALSE)</f>
        <v>#N/A</v>
      </c>
      <c r="I247" s="1" t="e">
        <f>VLOOKUP(C247,CHEGADA!A:B,2,FALSE)</f>
        <v>#N/A</v>
      </c>
    </row>
    <row r="248" spans="4:9">
      <c r="D248" s="2" t="str">
        <f>IFERROR(LEFT(Tabela1[[#This Row],[N°S]],LEN(Tabela1[[#This Row],[N°S]])-1),"")</f>
        <v/>
      </c>
      <c r="E248" s="1" t="str" cm="1">
        <f t="array" ref="E248">IFERROR(time_diff_cor(Tabela1[[#This Row],[Largada]],Tabela1[[#This Row],[Chegada]]),"00:20:00:000")</f>
        <v>00:20:00:000</v>
      </c>
      <c r="F248" s="1" t="str" cm="1">
        <f t="array" ref="F248">IFERROR(time_diff(Tabela1[[#This Row],[TEMPO]],E247),"00:00:00:000")</f>
        <v>00:00:00:00</v>
      </c>
      <c r="G248" s="1" t="str" cm="1">
        <f t="array" aca="1" ref="G248" ca="1">IF(Tabela1[[#This Row],[N°]]=D247,time_sum(Tabela1[[#This Row],[TEMPO]],E247),Tabela1[[#This Row],[TEMPO]])</f>
        <v>00:40:00:000</v>
      </c>
      <c r="H248" s="1" t="e">
        <f>VLOOKUP(C248,LARGADA!A:B,2,FALSE)</f>
        <v>#N/A</v>
      </c>
      <c r="I248" s="1" t="e">
        <f>VLOOKUP(C248,CHEGADA!A:B,2,FALSE)</f>
        <v>#N/A</v>
      </c>
    </row>
    <row r="249" spans="4:9">
      <c r="D249" s="2" t="str">
        <f>IFERROR(LEFT(Tabela1[[#This Row],[N°S]],LEN(Tabela1[[#This Row],[N°S]])-1),"")</f>
        <v/>
      </c>
      <c r="E249" s="1" t="str" cm="1">
        <f t="array" ref="E249">IFERROR(time_diff_cor(Tabela1[[#This Row],[Largada]],Tabela1[[#This Row],[Chegada]]),"00:20:00:000")</f>
        <v>00:20:00:000</v>
      </c>
      <c r="F249" s="1" t="str" cm="1">
        <f t="array" ref="F249">IFERROR(time_diff(Tabela1[[#This Row],[TEMPO]],E248),"00:00:00:000")</f>
        <v>00:00:00:00</v>
      </c>
      <c r="G249" s="1" t="str" cm="1">
        <f t="array" aca="1" ref="G249" ca="1">IF(Tabela1[[#This Row],[N°]]=D248,time_sum(Tabela1[[#This Row],[TEMPO]],E248),Tabela1[[#This Row],[TEMPO]])</f>
        <v>00:40:00:000</v>
      </c>
      <c r="H249" s="1" t="e">
        <f>VLOOKUP(C249,LARGADA!A:B,2,FALSE)</f>
        <v>#N/A</v>
      </c>
      <c r="I249" s="1" t="e">
        <f>VLOOKUP(C249,CHEGADA!A:B,2,FALSE)</f>
        <v>#N/A</v>
      </c>
    </row>
    <row r="250" spans="4:9">
      <c r="D250" s="2" t="str">
        <f>IFERROR(LEFT(Tabela1[[#This Row],[N°S]],LEN(Tabela1[[#This Row],[N°S]])-1),"")</f>
        <v/>
      </c>
      <c r="E250" s="1" t="str" cm="1">
        <f t="array" ref="E250">IFERROR(time_diff_cor(Tabela1[[#This Row],[Largada]],Tabela1[[#This Row],[Chegada]]),"00:20:00:000")</f>
        <v>00:20:00:000</v>
      </c>
      <c r="F250" s="1" t="str" cm="1">
        <f t="array" ref="F250">IFERROR(time_diff(Tabela1[[#This Row],[TEMPO]],E249),"00:00:00:000")</f>
        <v>00:00:00:00</v>
      </c>
      <c r="G250" s="1" t="str" cm="1">
        <f t="array" aca="1" ref="G250" ca="1">IF(Tabela1[[#This Row],[N°]]=D249,time_sum(Tabela1[[#This Row],[TEMPO]],E249),Tabela1[[#This Row],[TEMPO]])</f>
        <v>00:40:00:000</v>
      </c>
      <c r="H250" s="1" t="e">
        <f>VLOOKUP(C250,LARGADA!A:B,2,FALSE)</f>
        <v>#N/A</v>
      </c>
      <c r="I250" s="1" t="e">
        <f>VLOOKUP(C250,CHEGADA!A:B,2,FALSE)</f>
        <v>#N/A</v>
      </c>
    </row>
    <row r="251" spans="4:9">
      <c r="D251" s="2" t="str">
        <f>IFERROR(LEFT(Tabela1[[#This Row],[N°S]],LEN(Tabela1[[#This Row],[N°S]])-1),"")</f>
        <v/>
      </c>
      <c r="E251" s="1" t="str" cm="1">
        <f t="array" ref="E251">IFERROR(time_diff_cor(Tabela1[[#This Row],[Largada]],Tabela1[[#This Row],[Chegada]]),"00:20:00:000")</f>
        <v>00:20:00:000</v>
      </c>
      <c r="F251" s="1" t="str" cm="1">
        <f t="array" ref="F251">IFERROR(time_diff(Tabela1[[#This Row],[TEMPO]],E250),"00:00:00:000")</f>
        <v>00:00:00:00</v>
      </c>
      <c r="G251" s="1" t="str" cm="1">
        <f t="array" aca="1" ref="G251" ca="1">IF(Tabela1[[#This Row],[N°]]=D250,time_sum(Tabela1[[#This Row],[TEMPO]],E250),Tabela1[[#This Row],[TEMPO]])</f>
        <v>00:40:00:000</v>
      </c>
      <c r="H251" s="1" t="e">
        <f>VLOOKUP(C251,LARGADA!A:B,2,FALSE)</f>
        <v>#N/A</v>
      </c>
      <c r="I251" s="1" t="e">
        <f>VLOOKUP(C251,CHEGADA!A:B,2,FALSE)</f>
        <v>#N/A</v>
      </c>
    </row>
    <row r="252" spans="4:9">
      <c r="D252" s="2" t="str">
        <f>IFERROR(LEFT(Tabela1[[#This Row],[N°S]],LEN(Tabela1[[#This Row],[N°S]])-1),"")</f>
        <v/>
      </c>
      <c r="E252" s="1" t="str" cm="1">
        <f t="array" ref="E252">IFERROR(time_diff_cor(Tabela1[[#This Row],[Largada]],Tabela1[[#This Row],[Chegada]]),"00:20:00:000")</f>
        <v>00:20:00:000</v>
      </c>
      <c r="F252" s="1" t="str" cm="1">
        <f t="array" ref="F252">IFERROR(time_diff(Tabela1[[#This Row],[TEMPO]],E251),"00:00:00:000")</f>
        <v>00:00:00:00</v>
      </c>
      <c r="G252" s="1" t="str" cm="1">
        <f t="array" aca="1" ref="G252" ca="1">IF(Tabela1[[#This Row],[N°]]=D251,time_sum(Tabela1[[#This Row],[TEMPO]],E251),Tabela1[[#This Row],[TEMPO]])</f>
        <v>00:40:00:000</v>
      </c>
      <c r="H252" s="1" t="e">
        <f>VLOOKUP(C252,LARGADA!A:B,2,FALSE)</f>
        <v>#N/A</v>
      </c>
      <c r="I252" s="1" t="e">
        <f>VLOOKUP(C252,CHEGADA!A:B,2,FALSE)</f>
        <v>#N/A</v>
      </c>
    </row>
    <row r="253" spans="4:9">
      <c r="D253" s="2" t="str">
        <f>IFERROR(LEFT(Tabela1[[#This Row],[N°S]],LEN(Tabela1[[#This Row],[N°S]])-1),"")</f>
        <v/>
      </c>
      <c r="E253" s="1" t="str" cm="1">
        <f t="array" ref="E253">IFERROR(time_diff_cor(Tabela1[[#This Row],[Largada]],Tabela1[[#This Row],[Chegada]]),"00:20:00:000")</f>
        <v>00:20:00:000</v>
      </c>
      <c r="F253" s="1" t="str" cm="1">
        <f t="array" ref="F253">IFERROR(time_diff(Tabela1[[#This Row],[TEMPO]],E252),"00:00:00:000")</f>
        <v>00:00:00:00</v>
      </c>
      <c r="G253" s="1" t="str" cm="1">
        <f t="array" aca="1" ref="G253" ca="1">IF(Tabela1[[#This Row],[N°]]=D252,time_sum(Tabela1[[#This Row],[TEMPO]],E252),Tabela1[[#This Row],[TEMPO]])</f>
        <v>00:40:00:000</v>
      </c>
      <c r="H253" s="1" t="e">
        <f>VLOOKUP(C253,LARGADA!A:B,2,FALSE)</f>
        <v>#N/A</v>
      </c>
      <c r="I253" s="1" t="e">
        <f>VLOOKUP(C253,CHEGADA!A:B,2,FALSE)</f>
        <v>#N/A</v>
      </c>
    </row>
    <row r="254" spans="4:9">
      <c r="D254" s="2" t="str">
        <f>IFERROR(LEFT(Tabela1[[#This Row],[N°S]],LEN(Tabela1[[#This Row],[N°S]])-1),"")</f>
        <v/>
      </c>
      <c r="E254" s="1" t="str" cm="1">
        <f t="array" ref="E254">IFERROR(time_diff_cor(Tabela1[[#This Row],[Largada]],Tabela1[[#This Row],[Chegada]]),"00:20:00:000")</f>
        <v>00:20:00:000</v>
      </c>
      <c r="F254" s="1" t="str" cm="1">
        <f t="array" ref="F254">IFERROR(time_diff(Tabela1[[#This Row],[TEMPO]],E253),"00:00:00:000")</f>
        <v>00:00:00:00</v>
      </c>
      <c r="G254" s="1" t="str" cm="1">
        <f t="array" aca="1" ref="G254" ca="1">IF(Tabela1[[#This Row],[N°]]=D253,time_sum(Tabela1[[#This Row],[TEMPO]],E253),Tabela1[[#This Row],[TEMPO]])</f>
        <v>00:40:00:000</v>
      </c>
      <c r="H254" s="1" t="e">
        <f>VLOOKUP(C254,LARGADA!A:B,2,FALSE)</f>
        <v>#N/A</v>
      </c>
      <c r="I254" s="1" t="e">
        <f>VLOOKUP(C254,CHEGADA!A:B,2,FALSE)</f>
        <v>#N/A</v>
      </c>
    </row>
    <row r="255" spans="4:9">
      <c r="D255" s="2" t="str">
        <f>IFERROR(LEFT(Tabela1[[#This Row],[N°S]],LEN(Tabela1[[#This Row],[N°S]])-1),"")</f>
        <v/>
      </c>
      <c r="E255" s="1" t="str" cm="1">
        <f t="array" ref="E255">IFERROR(time_diff_cor(Tabela1[[#This Row],[Largada]],Tabela1[[#This Row],[Chegada]]),"00:20:00:000")</f>
        <v>00:20:00:000</v>
      </c>
      <c r="F255" s="1" t="str" cm="1">
        <f t="array" ref="F255">IFERROR(time_diff(Tabela1[[#This Row],[TEMPO]],E254),"00:00:00:000")</f>
        <v>00:00:00:00</v>
      </c>
      <c r="G255" s="1" t="str" cm="1">
        <f t="array" aca="1" ref="G255" ca="1">IF(Tabela1[[#This Row],[N°]]=D254,time_sum(Tabela1[[#This Row],[TEMPO]],E254),Tabela1[[#This Row],[TEMPO]])</f>
        <v>00:40:00:000</v>
      </c>
      <c r="H255" s="1" t="e">
        <f>VLOOKUP(C255,LARGADA!A:B,2,FALSE)</f>
        <v>#N/A</v>
      </c>
      <c r="I255" s="1" t="e">
        <f>VLOOKUP(C255,CHEGADA!A:B,2,FALSE)</f>
        <v>#N/A</v>
      </c>
    </row>
    <row r="256" spans="4:9">
      <c r="D256" s="2" t="str">
        <f>IFERROR(LEFT(Tabela1[[#This Row],[N°S]],LEN(Tabela1[[#This Row],[N°S]])-1),"")</f>
        <v/>
      </c>
      <c r="E256" s="1" t="str" cm="1">
        <f t="array" ref="E256">IFERROR(time_diff_cor(Tabela1[[#This Row],[Largada]],Tabela1[[#This Row],[Chegada]]),"00:20:00:000")</f>
        <v>00:20:00:000</v>
      </c>
      <c r="F256" s="1" t="str" cm="1">
        <f t="array" ref="F256">IFERROR(time_diff(Tabela1[[#This Row],[TEMPO]],E255),"00:00:00:000")</f>
        <v>00:00:00:00</v>
      </c>
      <c r="G256" s="1" t="str" cm="1">
        <f t="array" aca="1" ref="G256" ca="1">IF(Tabela1[[#This Row],[N°]]=D255,time_sum(Tabela1[[#This Row],[TEMPO]],E255),Tabela1[[#This Row],[TEMPO]])</f>
        <v>00:40:00:000</v>
      </c>
      <c r="H256" s="1" t="e">
        <f>VLOOKUP(C256,LARGADA!A:B,2,FALSE)</f>
        <v>#N/A</v>
      </c>
      <c r="I256" s="1" t="e">
        <f>VLOOKUP(C256,CHEGADA!A:B,2,FALSE)</f>
        <v>#N/A</v>
      </c>
    </row>
    <row r="257" spans="4:9">
      <c r="D257" s="2" t="str">
        <f>IFERROR(LEFT(Tabela1[[#This Row],[N°S]],LEN(Tabela1[[#This Row],[N°S]])-1),"")</f>
        <v/>
      </c>
      <c r="E257" s="1" t="str" cm="1">
        <f t="array" ref="E257">IFERROR(time_diff_cor(Tabela1[[#This Row],[Largada]],Tabela1[[#This Row],[Chegada]]),"00:20:00:000")</f>
        <v>00:20:00:000</v>
      </c>
      <c r="F257" s="1" t="str" cm="1">
        <f t="array" ref="F257">IFERROR(time_diff(Tabela1[[#This Row],[TEMPO]],E256),"00:00:00:000")</f>
        <v>00:00:00:00</v>
      </c>
      <c r="G257" s="1" t="str" cm="1">
        <f t="array" aca="1" ref="G257" ca="1">IF(Tabela1[[#This Row],[N°]]=D256,time_sum(Tabela1[[#This Row],[TEMPO]],E256),Tabela1[[#This Row],[TEMPO]])</f>
        <v>00:40:00:000</v>
      </c>
      <c r="H257" s="1" t="e">
        <f>VLOOKUP(C257,LARGADA!A:B,2,FALSE)</f>
        <v>#N/A</v>
      </c>
      <c r="I257" s="1" t="e">
        <f>VLOOKUP(C257,CHEGADA!A:B,2,FALSE)</f>
        <v>#N/A</v>
      </c>
    </row>
    <row r="258" spans="4:9">
      <c r="D258" s="2" t="str">
        <f>IFERROR(LEFT(Tabela1[[#This Row],[N°S]],LEN(Tabela1[[#This Row],[N°S]])-1),"")</f>
        <v/>
      </c>
      <c r="E258" s="1" t="str" cm="1">
        <f t="array" ref="E258">IFERROR(time_diff_cor(Tabela1[[#This Row],[Largada]],Tabela1[[#This Row],[Chegada]]),"00:20:00:000")</f>
        <v>00:20:00:000</v>
      </c>
      <c r="F258" s="1" t="str" cm="1">
        <f t="array" ref="F258">IFERROR(time_diff(Tabela1[[#This Row],[TEMPO]],E257),"00:00:00:000")</f>
        <v>00:00:00:00</v>
      </c>
      <c r="G258" s="1" t="str" cm="1">
        <f t="array" aca="1" ref="G258" ca="1">IF(Tabela1[[#This Row],[N°]]=D257,time_sum(Tabela1[[#This Row],[TEMPO]],E257),Tabela1[[#This Row],[TEMPO]])</f>
        <v>00:40:00:000</v>
      </c>
      <c r="H258" s="1" t="e">
        <f>VLOOKUP(C258,LARGADA!A:B,2,FALSE)</f>
        <v>#N/A</v>
      </c>
      <c r="I258" s="1" t="e">
        <f>VLOOKUP(C258,CHEGADA!A:B,2,FALSE)</f>
        <v>#N/A</v>
      </c>
    </row>
    <row r="259" spans="4:9">
      <c r="D259" s="2" t="str">
        <f>IFERROR(LEFT(Tabela1[[#This Row],[N°S]],LEN(Tabela1[[#This Row],[N°S]])-1),"")</f>
        <v/>
      </c>
      <c r="E259" s="1" t="str" cm="1">
        <f t="array" ref="E259">IFERROR(time_diff_cor(Tabela1[[#This Row],[Largada]],Tabela1[[#This Row],[Chegada]]),"00:20:00:000")</f>
        <v>00:20:00:000</v>
      </c>
      <c r="F259" s="1" t="str" cm="1">
        <f t="array" ref="F259">IFERROR(time_diff(Tabela1[[#This Row],[TEMPO]],E258),"00:00:00:000")</f>
        <v>00:00:00:00</v>
      </c>
      <c r="G259" s="1" t="str" cm="1">
        <f t="array" aca="1" ref="G259" ca="1">IF(Tabela1[[#This Row],[N°]]=D258,time_sum(Tabela1[[#This Row],[TEMPO]],E258),Tabela1[[#This Row],[TEMPO]])</f>
        <v>00:40:00:000</v>
      </c>
      <c r="H259" s="1" t="e">
        <f>VLOOKUP(C259,LARGADA!A:B,2,FALSE)</f>
        <v>#N/A</v>
      </c>
      <c r="I259" s="1" t="e">
        <f>VLOOKUP(C259,CHEGADA!A:B,2,FALSE)</f>
        <v>#N/A</v>
      </c>
    </row>
    <row r="260" spans="4:9">
      <c r="D260" s="2" t="str">
        <f>IFERROR(LEFT(Tabela1[[#This Row],[N°S]],LEN(Tabela1[[#This Row],[N°S]])-1),"")</f>
        <v/>
      </c>
      <c r="E260" s="1" t="str" cm="1">
        <f t="array" ref="E260">IFERROR(time_diff_cor(Tabela1[[#This Row],[Largada]],Tabela1[[#This Row],[Chegada]]),"00:20:00:000")</f>
        <v>00:20:00:000</v>
      </c>
      <c r="F260" s="1" t="str" cm="1">
        <f t="array" ref="F260">IFERROR(time_diff(Tabela1[[#This Row],[TEMPO]],E259),"00:00:00:000")</f>
        <v>00:00:00:00</v>
      </c>
      <c r="G260" s="1" t="str" cm="1">
        <f t="array" aca="1" ref="G260" ca="1">IF(Tabela1[[#This Row],[N°]]=D259,time_sum(Tabela1[[#This Row],[TEMPO]],E259),Tabela1[[#This Row],[TEMPO]])</f>
        <v>00:40:00:000</v>
      </c>
      <c r="H260" s="1" t="e">
        <f>VLOOKUP(C260,LARGADA!A:B,2,FALSE)</f>
        <v>#N/A</v>
      </c>
      <c r="I260" s="1" t="e">
        <f>VLOOKUP(C260,CHEGADA!A:B,2,FALSE)</f>
        <v>#N/A</v>
      </c>
    </row>
    <row r="261" spans="4:9">
      <c r="D261" s="2" t="str">
        <f>IFERROR(LEFT(Tabela1[[#This Row],[N°S]],LEN(Tabela1[[#This Row],[N°S]])-1),"")</f>
        <v/>
      </c>
      <c r="E261" s="1" t="str" cm="1">
        <f t="array" ref="E261">IFERROR(time_diff_cor(Tabela1[[#This Row],[Largada]],Tabela1[[#This Row],[Chegada]]),"00:20:00:000")</f>
        <v>00:20:00:000</v>
      </c>
      <c r="F261" s="1" t="str" cm="1">
        <f t="array" ref="F261">IFERROR(time_diff(Tabela1[[#This Row],[TEMPO]],E260),"00:00:00:000")</f>
        <v>00:00:00:00</v>
      </c>
      <c r="G261" s="1" t="str" cm="1">
        <f t="array" aca="1" ref="G261" ca="1">IF(Tabela1[[#This Row],[N°]]=D260,time_sum(Tabela1[[#This Row],[TEMPO]],E260),Tabela1[[#This Row],[TEMPO]])</f>
        <v>00:40:00:000</v>
      </c>
      <c r="H261" s="1" t="e">
        <f>VLOOKUP(C261,LARGADA!A:B,2,FALSE)</f>
        <v>#N/A</v>
      </c>
      <c r="I261" s="1" t="e">
        <f>VLOOKUP(C261,CHEGADA!A:B,2,FALSE)</f>
        <v>#N/A</v>
      </c>
    </row>
    <row r="262" spans="4:9">
      <c r="D262" s="2" t="str">
        <f>IFERROR(LEFT(Tabela1[[#This Row],[N°S]],LEN(Tabela1[[#This Row],[N°S]])-1),"")</f>
        <v/>
      </c>
      <c r="E262" s="1" t="str" cm="1">
        <f t="array" ref="E262">IFERROR(time_diff_cor(Tabela1[[#This Row],[Largada]],Tabela1[[#This Row],[Chegada]]),"00:20:00:000")</f>
        <v>00:20:00:000</v>
      </c>
      <c r="F262" s="1" t="str" cm="1">
        <f t="array" ref="F262">IFERROR(time_diff(Tabela1[[#This Row],[TEMPO]],E261),"00:00:00:000")</f>
        <v>00:00:00:00</v>
      </c>
      <c r="G262" s="1" t="str" cm="1">
        <f t="array" aca="1" ref="G262" ca="1">IF(Tabela1[[#This Row],[N°]]=D261,time_sum(Tabela1[[#This Row],[TEMPO]],E261),Tabela1[[#This Row],[TEMPO]])</f>
        <v>00:40:00:000</v>
      </c>
      <c r="H262" s="1" t="e">
        <f>VLOOKUP(C262,LARGADA!A:B,2,FALSE)</f>
        <v>#N/A</v>
      </c>
      <c r="I262" s="1" t="e">
        <f>VLOOKUP(C262,CHEGADA!A:B,2,FALSE)</f>
        <v>#N/A</v>
      </c>
    </row>
    <row r="263" spans="4:9">
      <c r="D263" s="2" t="str">
        <f>IFERROR(LEFT(Tabela1[[#This Row],[N°S]],LEN(Tabela1[[#This Row],[N°S]])-1),"")</f>
        <v/>
      </c>
      <c r="E263" s="1" t="str" cm="1">
        <f t="array" ref="E263">IFERROR(time_diff_cor(Tabela1[[#This Row],[Largada]],Tabela1[[#This Row],[Chegada]]),"00:20:00:000")</f>
        <v>00:20:00:000</v>
      </c>
      <c r="F263" s="1" t="str" cm="1">
        <f t="array" ref="F263">IFERROR(time_diff(Tabela1[[#This Row],[TEMPO]],E262),"00:00:00:000")</f>
        <v>00:00:00:00</v>
      </c>
      <c r="G263" s="1" t="str" cm="1">
        <f t="array" aca="1" ref="G263" ca="1">IF(Tabela1[[#This Row],[N°]]=D262,time_sum(Tabela1[[#This Row],[TEMPO]],E262),Tabela1[[#This Row],[TEMPO]])</f>
        <v>00:40:00:000</v>
      </c>
      <c r="H263" s="1" t="e">
        <f>VLOOKUP(C263,LARGADA!A:B,2,FALSE)</f>
        <v>#N/A</v>
      </c>
      <c r="I263" s="1" t="e">
        <f>VLOOKUP(C263,CHEGADA!A:B,2,FALSE)</f>
        <v>#N/A</v>
      </c>
    </row>
    <row r="264" spans="4:9">
      <c r="D264" s="2" t="str">
        <f>IFERROR(LEFT(Tabela1[[#This Row],[N°S]],LEN(Tabela1[[#This Row],[N°S]])-1),"")</f>
        <v/>
      </c>
      <c r="E264" s="1" t="str" cm="1">
        <f t="array" ref="E264">IFERROR(time_diff_cor(Tabela1[[#This Row],[Largada]],Tabela1[[#This Row],[Chegada]]),"00:20:00:000")</f>
        <v>00:20:00:000</v>
      </c>
      <c r="F264" s="1" t="str" cm="1">
        <f t="array" ref="F264">IFERROR(time_diff(Tabela1[[#This Row],[TEMPO]],E263),"00:00:00:000")</f>
        <v>00:00:00:00</v>
      </c>
      <c r="G264" s="1" t="str" cm="1">
        <f t="array" aca="1" ref="G264" ca="1">IF(Tabela1[[#This Row],[N°]]=D263,time_sum(Tabela1[[#This Row],[TEMPO]],E263),Tabela1[[#This Row],[TEMPO]])</f>
        <v>00:40:00:000</v>
      </c>
      <c r="H264" s="1" t="e">
        <f>VLOOKUP(C264,LARGADA!A:B,2,FALSE)</f>
        <v>#N/A</v>
      </c>
      <c r="I264" s="1" t="e">
        <f>VLOOKUP(C264,CHEGADA!A:B,2,FALSE)</f>
        <v>#N/A</v>
      </c>
    </row>
    <row r="265" spans="4:9">
      <c r="D265" s="2" t="str">
        <f>IFERROR(LEFT(Tabela1[[#This Row],[N°S]],LEN(Tabela1[[#This Row],[N°S]])-1),"")</f>
        <v/>
      </c>
      <c r="E265" s="1" t="str" cm="1">
        <f t="array" ref="E265">IFERROR(time_diff_cor(Tabela1[[#This Row],[Largada]],Tabela1[[#This Row],[Chegada]]),"00:20:00:000")</f>
        <v>00:20:00:000</v>
      </c>
      <c r="F265" s="1" t="str" cm="1">
        <f t="array" ref="F265">IFERROR(time_diff(Tabela1[[#This Row],[TEMPO]],E264),"00:00:00:000")</f>
        <v>00:00:00:00</v>
      </c>
      <c r="G265" s="1" t="str" cm="1">
        <f t="array" aca="1" ref="G265" ca="1">IF(Tabela1[[#This Row],[N°]]=D264,time_sum(Tabela1[[#This Row],[TEMPO]],E264),Tabela1[[#This Row],[TEMPO]])</f>
        <v>00:40:00:000</v>
      </c>
      <c r="H265" s="1" t="e">
        <f>VLOOKUP(C265,LARGADA!A:B,2,FALSE)</f>
        <v>#N/A</v>
      </c>
      <c r="I265" s="1" t="e">
        <f>VLOOKUP(C265,CHEGADA!A:B,2,FALSE)</f>
        <v>#N/A</v>
      </c>
    </row>
    <row r="266" spans="4:9">
      <c r="D266" s="2" t="str">
        <f>IFERROR(LEFT(Tabela1[[#This Row],[N°S]],LEN(Tabela1[[#This Row],[N°S]])-1),"")</f>
        <v/>
      </c>
      <c r="E266" s="1" t="str" cm="1">
        <f t="array" ref="E266">IFERROR(time_diff_cor(Tabela1[[#This Row],[Largada]],Tabela1[[#This Row],[Chegada]]),"00:20:00:000")</f>
        <v>00:20:00:000</v>
      </c>
      <c r="F266" s="1" t="str" cm="1">
        <f t="array" ref="F266">IFERROR(time_diff(Tabela1[[#This Row],[TEMPO]],E265),"00:00:00:000")</f>
        <v>00:00:00:00</v>
      </c>
      <c r="G266" s="1" t="str" cm="1">
        <f t="array" aca="1" ref="G266" ca="1">IF(Tabela1[[#This Row],[N°]]=D265,time_sum(Tabela1[[#This Row],[TEMPO]],E265),Tabela1[[#This Row],[TEMPO]])</f>
        <v>00:40:00:000</v>
      </c>
      <c r="H266" s="1" t="e">
        <f>VLOOKUP(C266,LARGADA!A:B,2,FALSE)</f>
        <v>#N/A</v>
      </c>
      <c r="I266" s="1" t="e">
        <f>VLOOKUP(C266,CHEGADA!A:B,2,FALSE)</f>
        <v>#N/A</v>
      </c>
    </row>
    <row r="267" spans="4:9">
      <c r="D267" s="2" t="str">
        <f>IFERROR(LEFT(Tabela1[[#This Row],[N°S]],LEN(Tabela1[[#This Row],[N°S]])-1),"")</f>
        <v/>
      </c>
      <c r="E267" s="1" t="str" cm="1">
        <f t="array" ref="E267">IFERROR(time_diff_cor(Tabela1[[#This Row],[Largada]],Tabela1[[#This Row],[Chegada]]),"00:20:00:000")</f>
        <v>00:20:00:000</v>
      </c>
      <c r="F267" s="1" t="str" cm="1">
        <f t="array" ref="F267">IFERROR(time_diff(Tabela1[[#This Row],[TEMPO]],E266),"00:00:00:000")</f>
        <v>00:00:00:00</v>
      </c>
      <c r="G267" s="1" t="str" cm="1">
        <f t="array" aca="1" ref="G267" ca="1">IF(Tabela1[[#This Row],[N°]]=D266,time_sum(Tabela1[[#This Row],[TEMPO]],E266),Tabela1[[#This Row],[TEMPO]])</f>
        <v>00:40:00:000</v>
      </c>
      <c r="H267" s="1" t="e">
        <f>VLOOKUP(C267,LARGADA!A:B,2,FALSE)</f>
        <v>#N/A</v>
      </c>
      <c r="I267" s="1" t="e">
        <f>VLOOKUP(C267,CHEGADA!A:B,2,FALSE)</f>
        <v>#N/A</v>
      </c>
    </row>
    <row r="268" spans="4:9">
      <c r="D268" s="2" t="str">
        <f>IFERROR(LEFT(Tabela1[[#This Row],[N°S]],LEN(Tabela1[[#This Row],[N°S]])-1),"")</f>
        <v/>
      </c>
      <c r="E268" s="1" t="str" cm="1">
        <f t="array" ref="E268">IFERROR(time_diff_cor(Tabela1[[#This Row],[Largada]],Tabela1[[#This Row],[Chegada]]),"00:20:00:000")</f>
        <v>00:20:00:000</v>
      </c>
      <c r="F268" s="1" t="str" cm="1">
        <f t="array" ref="F268">IFERROR(time_diff(Tabela1[[#This Row],[TEMPO]],E267),"00:00:00:000")</f>
        <v>00:00:00:00</v>
      </c>
      <c r="G268" s="1" t="str" cm="1">
        <f t="array" aca="1" ref="G268" ca="1">IF(Tabela1[[#This Row],[N°]]=D267,time_sum(Tabela1[[#This Row],[TEMPO]],E267),Tabela1[[#This Row],[TEMPO]])</f>
        <v>00:40:00:000</v>
      </c>
      <c r="H268" s="1" t="e">
        <f>VLOOKUP(C268,LARGADA!A:B,2,FALSE)</f>
        <v>#N/A</v>
      </c>
      <c r="I268" s="1" t="e">
        <f>VLOOKUP(C268,CHEGADA!A:B,2,FALSE)</f>
        <v>#N/A</v>
      </c>
    </row>
    <row r="269" spans="4:9">
      <c r="D269" s="2" t="str">
        <f>IFERROR(LEFT(Tabela1[[#This Row],[N°S]],LEN(Tabela1[[#This Row],[N°S]])-1),"")</f>
        <v/>
      </c>
      <c r="E269" s="1" t="str" cm="1">
        <f t="array" ref="E269">IFERROR(time_diff_cor(Tabela1[[#This Row],[Largada]],Tabela1[[#This Row],[Chegada]]),"00:20:00:000")</f>
        <v>00:20:00:000</v>
      </c>
      <c r="F269" s="1" t="str" cm="1">
        <f t="array" ref="F269">IFERROR(time_diff(Tabela1[[#This Row],[TEMPO]],E268),"00:00:00:000")</f>
        <v>00:00:00:00</v>
      </c>
      <c r="G269" s="1" t="str" cm="1">
        <f t="array" aca="1" ref="G269" ca="1">IF(Tabela1[[#This Row],[N°]]=D268,time_sum(Tabela1[[#This Row],[TEMPO]],E268),Tabela1[[#This Row],[TEMPO]])</f>
        <v>00:40:00:000</v>
      </c>
      <c r="H269" s="1" t="e">
        <f>VLOOKUP(C269,LARGADA!A:B,2,FALSE)</f>
        <v>#N/A</v>
      </c>
      <c r="I269" s="1" t="e">
        <f>VLOOKUP(C269,CHEGADA!A:B,2,FALSE)</f>
        <v>#N/A</v>
      </c>
    </row>
    <row r="270" spans="4:9">
      <c r="D270" s="2" t="str">
        <f>IFERROR(LEFT(Tabela1[[#This Row],[N°S]],LEN(Tabela1[[#This Row],[N°S]])-1),"")</f>
        <v/>
      </c>
      <c r="E270" s="1" t="str" cm="1">
        <f t="array" ref="E270">IFERROR(time_diff_cor(Tabela1[[#This Row],[Largada]],Tabela1[[#This Row],[Chegada]]),"00:20:00:000")</f>
        <v>00:20:00:000</v>
      </c>
      <c r="F270" s="1" t="str" cm="1">
        <f t="array" ref="F270">IFERROR(time_diff(Tabela1[[#This Row],[TEMPO]],E269),"00:00:00:000")</f>
        <v>00:00:00:00</v>
      </c>
      <c r="G270" s="1" t="str" cm="1">
        <f t="array" aca="1" ref="G270" ca="1">IF(Tabela1[[#This Row],[N°]]=D269,time_sum(Tabela1[[#This Row],[TEMPO]],E269),Tabela1[[#This Row],[TEMPO]])</f>
        <v>00:40:00:000</v>
      </c>
      <c r="H270" s="1" t="e">
        <f>VLOOKUP(C270,LARGADA!A:B,2,FALSE)</f>
        <v>#N/A</v>
      </c>
      <c r="I270" s="1" t="e">
        <f>VLOOKUP(C270,CHEGADA!A:B,2,FALSE)</f>
        <v>#N/A</v>
      </c>
    </row>
    <row r="271" spans="4:9">
      <c r="D271" s="2" t="str">
        <f>IFERROR(LEFT(Tabela1[[#This Row],[N°S]],LEN(Tabela1[[#This Row],[N°S]])-1),"")</f>
        <v/>
      </c>
      <c r="E271" s="1" t="str" cm="1">
        <f t="array" ref="E271">IFERROR(time_diff_cor(Tabela1[[#This Row],[Largada]],Tabela1[[#This Row],[Chegada]]),"00:20:00:000")</f>
        <v>00:20:00:000</v>
      </c>
      <c r="F271" s="1" t="str" cm="1">
        <f t="array" ref="F271">IFERROR(time_diff(Tabela1[[#This Row],[TEMPO]],E270),"00:00:00:000")</f>
        <v>00:00:00:00</v>
      </c>
      <c r="G271" s="1" t="str" cm="1">
        <f t="array" aca="1" ref="G271" ca="1">IF(Tabela1[[#This Row],[N°]]=D270,time_sum(Tabela1[[#This Row],[TEMPO]],E270),Tabela1[[#This Row],[TEMPO]])</f>
        <v>00:40:00:000</v>
      </c>
      <c r="H271" s="1" t="e">
        <f>VLOOKUP(C271,LARGADA!A:B,2,FALSE)</f>
        <v>#N/A</v>
      </c>
      <c r="I271" s="1" t="e">
        <f>VLOOKUP(C271,CHEGADA!A:B,2,FALSE)</f>
        <v>#N/A</v>
      </c>
    </row>
    <row r="272" spans="4:9">
      <c r="D272" s="2" t="str">
        <f>IFERROR(LEFT(Tabela1[[#This Row],[N°S]],LEN(Tabela1[[#This Row],[N°S]])-1),"")</f>
        <v/>
      </c>
      <c r="E272" s="1" t="str" cm="1">
        <f t="array" ref="E272">IFERROR(time_diff_cor(Tabela1[[#This Row],[Largada]],Tabela1[[#This Row],[Chegada]]),"00:20:00:000")</f>
        <v>00:20:00:000</v>
      </c>
      <c r="F272" s="1" t="str" cm="1">
        <f t="array" ref="F272">IFERROR(time_diff(Tabela1[[#This Row],[TEMPO]],E271),"00:00:00:000")</f>
        <v>00:00:00:00</v>
      </c>
      <c r="G272" s="1" t="str" cm="1">
        <f t="array" aca="1" ref="G272" ca="1">IF(Tabela1[[#This Row],[N°]]=D271,time_sum(Tabela1[[#This Row],[TEMPO]],E271),Tabela1[[#This Row],[TEMPO]])</f>
        <v>00:40:00:000</v>
      </c>
      <c r="H272" s="1" t="e">
        <f>VLOOKUP(C272,LARGADA!A:B,2,FALSE)</f>
        <v>#N/A</v>
      </c>
      <c r="I272" s="1" t="e">
        <f>VLOOKUP(C272,CHEGADA!A:B,2,FALSE)</f>
        <v>#N/A</v>
      </c>
    </row>
    <row r="273" spans="4:9">
      <c r="D273" s="2" t="str">
        <f>IFERROR(LEFT(Tabela1[[#This Row],[N°S]],LEN(Tabela1[[#This Row],[N°S]])-1),"")</f>
        <v/>
      </c>
      <c r="E273" s="1" t="str" cm="1">
        <f t="array" ref="E273">IFERROR(time_diff_cor(Tabela1[[#This Row],[Largada]],Tabela1[[#This Row],[Chegada]]),"00:20:00:000")</f>
        <v>00:20:00:000</v>
      </c>
      <c r="F273" s="1" t="str" cm="1">
        <f t="array" ref="F273">IFERROR(time_diff(Tabela1[[#This Row],[TEMPO]],E272),"00:00:00:000")</f>
        <v>00:00:00:00</v>
      </c>
      <c r="G273" s="1" t="str" cm="1">
        <f t="array" aca="1" ref="G273" ca="1">IF(Tabela1[[#This Row],[N°]]=D272,time_sum(Tabela1[[#This Row],[TEMPO]],E272),Tabela1[[#This Row],[TEMPO]])</f>
        <v>00:40:00:000</v>
      </c>
      <c r="H273" s="1" t="e">
        <f>VLOOKUP(C273,LARGADA!A:B,2,FALSE)</f>
        <v>#N/A</v>
      </c>
      <c r="I273" s="1" t="e">
        <f>VLOOKUP(C273,CHEGADA!A:B,2,FALSE)</f>
        <v>#N/A</v>
      </c>
    </row>
    <row r="274" spans="4:9">
      <c r="D274" s="2" t="str">
        <f>IFERROR(LEFT(Tabela1[[#This Row],[N°S]],LEN(Tabela1[[#This Row],[N°S]])-1),"")</f>
        <v/>
      </c>
      <c r="E274" s="1" t="str" cm="1">
        <f t="array" ref="E274">IFERROR(time_diff_cor(Tabela1[[#This Row],[Largada]],Tabela1[[#This Row],[Chegada]]),"00:20:00:000")</f>
        <v>00:20:00:000</v>
      </c>
      <c r="F274" s="1" t="str" cm="1">
        <f t="array" ref="F274">IFERROR(time_diff(Tabela1[[#This Row],[TEMPO]],E273),"00:00:00:000")</f>
        <v>00:00:00:00</v>
      </c>
      <c r="G274" s="1" t="str" cm="1">
        <f t="array" aca="1" ref="G274" ca="1">IF(Tabela1[[#This Row],[N°]]=D273,time_sum(Tabela1[[#This Row],[TEMPO]],E273),Tabela1[[#This Row],[TEMPO]])</f>
        <v>00:40:00:000</v>
      </c>
      <c r="H274" s="1" t="e">
        <f>VLOOKUP(C274,LARGADA!A:B,2,FALSE)</f>
        <v>#N/A</v>
      </c>
      <c r="I274" s="1" t="e">
        <f>VLOOKUP(C274,CHEGADA!A:B,2,FALSE)</f>
        <v>#N/A</v>
      </c>
    </row>
    <row r="275" spans="4:9">
      <c r="D275" s="2" t="str">
        <f>IFERROR(LEFT(Tabela1[[#This Row],[N°S]],LEN(Tabela1[[#This Row],[N°S]])-1),"")</f>
        <v/>
      </c>
      <c r="E275" s="1" t="str" cm="1">
        <f t="array" ref="E275">IFERROR(time_diff_cor(Tabela1[[#This Row],[Largada]],Tabela1[[#This Row],[Chegada]]),"00:20:00:000")</f>
        <v>00:20:00:000</v>
      </c>
      <c r="F275" s="1" t="str" cm="1">
        <f t="array" ref="F275">IFERROR(time_diff(Tabela1[[#This Row],[TEMPO]],E274),"00:00:00:000")</f>
        <v>00:00:00:00</v>
      </c>
      <c r="G275" s="1" t="str" cm="1">
        <f t="array" aca="1" ref="G275" ca="1">IF(Tabela1[[#This Row],[N°]]=D274,time_sum(Tabela1[[#This Row],[TEMPO]],E274),Tabela1[[#This Row],[TEMPO]])</f>
        <v>00:40:00:000</v>
      </c>
      <c r="H275" s="1" t="e">
        <f>VLOOKUP(C275,LARGADA!A:B,2,FALSE)</f>
        <v>#N/A</v>
      </c>
      <c r="I275" s="1" t="e">
        <f>VLOOKUP(C275,CHEGADA!A:B,2,FALSE)</f>
        <v>#N/A</v>
      </c>
    </row>
    <row r="276" spans="4:9">
      <c r="D276" s="2" t="str">
        <f>IFERROR(LEFT(Tabela1[[#This Row],[N°S]],LEN(Tabela1[[#This Row],[N°S]])-1),"")</f>
        <v/>
      </c>
      <c r="E276" s="1" t="str" cm="1">
        <f t="array" ref="E276">IFERROR(time_diff_cor(Tabela1[[#This Row],[Largada]],Tabela1[[#This Row],[Chegada]]),"00:20:00:000")</f>
        <v>00:20:00:000</v>
      </c>
      <c r="F276" s="1" t="str" cm="1">
        <f t="array" ref="F276">IFERROR(time_diff(Tabela1[[#This Row],[TEMPO]],E275),"00:00:00:000")</f>
        <v>00:00:00:00</v>
      </c>
      <c r="G276" s="1" t="str" cm="1">
        <f t="array" aca="1" ref="G276" ca="1">IF(Tabela1[[#This Row],[N°]]=D275,time_sum(Tabela1[[#This Row],[TEMPO]],E275),Tabela1[[#This Row],[TEMPO]])</f>
        <v>00:40:00:000</v>
      </c>
      <c r="H276" s="1" t="e">
        <f>VLOOKUP(C276,LARGADA!A:B,2,FALSE)</f>
        <v>#N/A</v>
      </c>
      <c r="I276" s="1" t="e">
        <f>VLOOKUP(C276,CHEGADA!A:B,2,FALSE)</f>
        <v>#N/A</v>
      </c>
    </row>
    <row r="277" spans="4:9">
      <c r="D277" s="2" t="str">
        <f>IFERROR(LEFT(Tabela1[[#This Row],[N°S]],LEN(Tabela1[[#This Row],[N°S]])-1),"")</f>
        <v/>
      </c>
      <c r="E277" s="1" t="str" cm="1">
        <f t="array" ref="E277">IFERROR(time_diff_cor(Tabela1[[#This Row],[Largada]],Tabela1[[#This Row],[Chegada]]),"00:20:00:000")</f>
        <v>00:20:00:000</v>
      </c>
      <c r="F277" s="1" t="str" cm="1">
        <f t="array" ref="F277">IFERROR(time_diff(Tabela1[[#This Row],[TEMPO]],E276),"00:00:00:000")</f>
        <v>00:00:00:00</v>
      </c>
      <c r="G277" s="1" t="str" cm="1">
        <f t="array" aca="1" ref="G277" ca="1">IF(Tabela1[[#This Row],[N°]]=D276,time_sum(Tabela1[[#This Row],[TEMPO]],E276),Tabela1[[#This Row],[TEMPO]])</f>
        <v>00:40:00:000</v>
      </c>
      <c r="H277" s="1" t="e">
        <f>VLOOKUP(C277,LARGADA!A:B,2,FALSE)</f>
        <v>#N/A</v>
      </c>
      <c r="I277" s="1" t="e">
        <f>VLOOKUP(C277,CHEGADA!A:B,2,FALSE)</f>
        <v>#N/A</v>
      </c>
    </row>
    <row r="278" spans="4:9">
      <c r="D278" s="2" t="str">
        <f>IFERROR(LEFT(Tabela1[[#This Row],[N°S]],LEN(Tabela1[[#This Row],[N°S]])-1),"")</f>
        <v/>
      </c>
      <c r="E278" s="1" t="str" cm="1">
        <f t="array" ref="E278">IFERROR(time_diff_cor(Tabela1[[#This Row],[Largada]],Tabela1[[#This Row],[Chegada]]),"00:20:00:000")</f>
        <v>00:20:00:000</v>
      </c>
      <c r="F278" s="1" t="str" cm="1">
        <f t="array" ref="F278">IFERROR(time_diff(Tabela1[[#This Row],[TEMPO]],E277),"00:00:00:000")</f>
        <v>00:00:00:00</v>
      </c>
      <c r="G278" s="1" t="str" cm="1">
        <f t="array" aca="1" ref="G278" ca="1">IF(Tabela1[[#This Row],[N°]]=D277,time_sum(Tabela1[[#This Row],[TEMPO]],E277),Tabela1[[#This Row],[TEMPO]])</f>
        <v>00:40:00:000</v>
      </c>
      <c r="H278" s="1" t="e">
        <f>VLOOKUP(C278,LARGADA!A:B,2,FALSE)</f>
        <v>#N/A</v>
      </c>
      <c r="I278" s="1" t="e">
        <f>VLOOKUP(C278,CHEGADA!A:B,2,FALSE)</f>
        <v>#N/A</v>
      </c>
    </row>
    <row r="279" spans="4:9">
      <c r="D279" s="2" t="str">
        <f>IFERROR(LEFT(Tabela1[[#This Row],[N°S]],LEN(Tabela1[[#This Row],[N°S]])-1),"")</f>
        <v/>
      </c>
      <c r="E279" s="1" t="str" cm="1">
        <f t="array" ref="E279">IFERROR(time_diff_cor(Tabela1[[#This Row],[Largada]],Tabela1[[#This Row],[Chegada]]),"00:20:00:000")</f>
        <v>00:20:00:000</v>
      </c>
      <c r="F279" s="1" t="str" cm="1">
        <f t="array" ref="F279">IFERROR(time_diff(Tabela1[[#This Row],[TEMPO]],E278),"00:00:00:000")</f>
        <v>00:00:00:00</v>
      </c>
      <c r="G279" s="1" t="str" cm="1">
        <f t="array" aca="1" ref="G279" ca="1">IF(Tabela1[[#This Row],[N°]]=D278,time_sum(Tabela1[[#This Row],[TEMPO]],E278),Tabela1[[#This Row],[TEMPO]])</f>
        <v>00:40:00:000</v>
      </c>
      <c r="H279" s="1" t="e">
        <f>VLOOKUP(C279,LARGADA!A:B,2,FALSE)</f>
        <v>#N/A</v>
      </c>
      <c r="I279" s="1" t="e">
        <f>VLOOKUP(C279,CHEGADA!A:B,2,FALSE)</f>
        <v>#N/A</v>
      </c>
    </row>
    <row r="280" spans="4:9">
      <c r="D280" s="2" t="str">
        <f>IFERROR(LEFT(Tabela1[[#This Row],[N°S]],LEN(Tabela1[[#This Row],[N°S]])-1),"")</f>
        <v/>
      </c>
      <c r="E280" s="1" t="str" cm="1">
        <f t="array" ref="E280">IFERROR(time_diff_cor(Tabela1[[#This Row],[Largada]],Tabela1[[#This Row],[Chegada]]),"00:20:00:000")</f>
        <v>00:20:00:000</v>
      </c>
      <c r="F280" s="1" t="str" cm="1">
        <f t="array" ref="F280">IFERROR(time_diff(Tabela1[[#This Row],[TEMPO]],E279),"00:00:00:000")</f>
        <v>00:00:00:00</v>
      </c>
      <c r="G280" s="1" t="str" cm="1">
        <f t="array" aca="1" ref="G280" ca="1">IF(Tabela1[[#This Row],[N°]]=D279,time_sum(Tabela1[[#This Row],[TEMPO]],E279),Tabela1[[#This Row],[TEMPO]])</f>
        <v>00:40:00:000</v>
      </c>
      <c r="H280" s="1" t="e">
        <f>VLOOKUP(C280,LARGADA!A:B,2,FALSE)</f>
        <v>#N/A</v>
      </c>
      <c r="I280" s="1" t="e">
        <f>VLOOKUP(C280,CHEGADA!A:B,2,FALSE)</f>
        <v>#N/A</v>
      </c>
    </row>
    <row r="281" spans="4:9">
      <c r="D281" s="2" t="str">
        <f>IFERROR(LEFT(Tabela1[[#This Row],[N°S]],LEN(Tabela1[[#This Row],[N°S]])-1),"")</f>
        <v/>
      </c>
      <c r="E281" s="1" t="str" cm="1">
        <f t="array" ref="E281">IFERROR(time_diff_cor(Tabela1[[#This Row],[Largada]],Tabela1[[#This Row],[Chegada]]),"00:20:00:000")</f>
        <v>00:20:00:000</v>
      </c>
      <c r="F281" s="1" t="str" cm="1">
        <f t="array" ref="F281">IFERROR(time_diff(Tabela1[[#This Row],[TEMPO]],E280),"00:00:00:000")</f>
        <v>00:00:00:00</v>
      </c>
      <c r="G281" s="1" t="str" cm="1">
        <f t="array" aca="1" ref="G281" ca="1">IF(Tabela1[[#This Row],[N°]]=D280,time_sum(Tabela1[[#This Row],[TEMPO]],E280),Tabela1[[#This Row],[TEMPO]])</f>
        <v>00:40:00:000</v>
      </c>
      <c r="H281" s="1" t="e">
        <f>VLOOKUP(C281,LARGADA!A:B,2,FALSE)</f>
        <v>#N/A</v>
      </c>
      <c r="I281" s="1" t="e">
        <f>VLOOKUP(C281,CHEGADA!A:B,2,FALSE)</f>
        <v>#N/A</v>
      </c>
    </row>
    <row r="282" spans="4:9">
      <c r="D282" s="2" t="str">
        <f>IFERROR(LEFT(Tabela1[[#This Row],[N°S]],LEN(Tabela1[[#This Row],[N°S]])-1),"")</f>
        <v/>
      </c>
      <c r="E282" s="1" t="str" cm="1">
        <f t="array" ref="E282">IFERROR(time_diff_cor(Tabela1[[#This Row],[Largada]],Tabela1[[#This Row],[Chegada]]),"00:20:00:000")</f>
        <v>00:20:00:000</v>
      </c>
      <c r="F282" s="1" t="str" cm="1">
        <f t="array" ref="F282">IFERROR(time_diff(Tabela1[[#This Row],[TEMPO]],E281),"00:00:00:000")</f>
        <v>00:00:00:00</v>
      </c>
      <c r="G282" s="1" t="str" cm="1">
        <f t="array" aca="1" ref="G282" ca="1">IF(Tabela1[[#This Row],[N°]]=D281,time_sum(Tabela1[[#This Row],[TEMPO]],E281),Tabela1[[#This Row],[TEMPO]])</f>
        <v>00:40:00:000</v>
      </c>
      <c r="H282" s="1" t="e">
        <f>VLOOKUP(C282,LARGADA!A:B,2,FALSE)</f>
        <v>#N/A</v>
      </c>
      <c r="I282" s="1" t="e">
        <f>VLOOKUP(C282,CHEGADA!A:B,2,FALSE)</f>
        <v>#N/A</v>
      </c>
    </row>
    <row r="283" spans="4:9">
      <c r="D283" s="2" t="str">
        <f>IFERROR(LEFT(Tabela1[[#This Row],[N°S]],LEN(Tabela1[[#This Row],[N°S]])-1),"")</f>
        <v/>
      </c>
      <c r="E283" s="1" t="str" cm="1">
        <f t="array" ref="E283">IFERROR(time_diff_cor(Tabela1[[#This Row],[Largada]],Tabela1[[#This Row],[Chegada]]),"00:20:00:000")</f>
        <v>00:20:00:000</v>
      </c>
      <c r="F283" s="1" t="str" cm="1">
        <f t="array" ref="F283">IFERROR(time_diff(Tabela1[[#This Row],[TEMPO]],E282),"00:00:00:000")</f>
        <v>00:00:00:00</v>
      </c>
      <c r="G283" s="1" t="str" cm="1">
        <f t="array" aca="1" ref="G283" ca="1">IF(Tabela1[[#This Row],[N°]]=D282,time_sum(Tabela1[[#This Row],[TEMPO]],E282),Tabela1[[#This Row],[TEMPO]])</f>
        <v>00:40:00:000</v>
      </c>
      <c r="H283" s="1" t="e">
        <f>VLOOKUP(C283,LARGADA!A:B,2,FALSE)</f>
        <v>#N/A</v>
      </c>
      <c r="I283" s="1" t="e">
        <f>VLOOKUP(C283,CHEGADA!A:B,2,FALSE)</f>
        <v>#N/A</v>
      </c>
    </row>
    <row r="284" spans="4:9">
      <c r="D284" s="2" t="str">
        <f>IFERROR(LEFT(Tabela1[[#This Row],[N°S]],LEN(Tabela1[[#This Row],[N°S]])-1),"")</f>
        <v/>
      </c>
      <c r="E284" s="1" t="str" cm="1">
        <f t="array" ref="E284">IFERROR(time_diff_cor(Tabela1[[#This Row],[Largada]],Tabela1[[#This Row],[Chegada]]),"00:20:00:000")</f>
        <v>00:20:00:000</v>
      </c>
      <c r="F284" s="1" t="str" cm="1">
        <f t="array" ref="F284">IFERROR(time_diff(Tabela1[[#This Row],[TEMPO]],E283),"00:00:00:000")</f>
        <v>00:00:00:00</v>
      </c>
      <c r="G284" s="1" t="str" cm="1">
        <f t="array" aca="1" ref="G284" ca="1">IF(Tabela1[[#This Row],[N°]]=D283,time_sum(Tabela1[[#This Row],[TEMPO]],E283),Tabela1[[#This Row],[TEMPO]])</f>
        <v>00:40:00:000</v>
      </c>
      <c r="H284" s="1" t="e">
        <f>VLOOKUP(C284,LARGADA!A:B,2,FALSE)</f>
        <v>#N/A</v>
      </c>
      <c r="I284" s="1" t="e">
        <f>VLOOKUP(C284,CHEGADA!A:B,2,FALSE)</f>
        <v>#N/A</v>
      </c>
    </row>
    <row r="285" spans="4:9">
      <c r="D285" s="2" t="str">
        <f>IFERROR(LEFT(Tabela1[[#This Row],[N°S]],LEN(Tabela1[[#This Row],[N°S]])-1),"")</f>
        <v/>
      </c>
      <c r="E285" s="1" t="str" cm="1">
        <f t="array" ref="E285">IFERROR(time_diff_cor(Tabela1[[#This Row],[Largada]],Tabela1[[#This Row],[Chegada]]),"00:20:00:000")</f>
        <v>00:20:00:000</v>
      </c>
      <c r="F285" s="1" t="str" cm="1">
        <f t="array" ref="F285">IFERROR(time_diff(Tabela1[[#This Row],[TEMPO]],E284),"00:00:00:000")</f>
        <v>00:00:00:00</v>
      </c>
      <c r="G285" s="1" t="str" cm="1">
        <f t="array" aca="1" ref="G285" ca="1">IF(Tabela1[[#This Row],[N°]]=D284,time_sum(Tabela1[[#This Row],[TEMPO]],E284),Tabela1[[#This Row],[TEMPO]])</f>
        <v>00:40:00:000</v>
      </c>
      <c r="H285" s="1" t="e">
        <f>VLOOKUP(C285,LARGADA!A:B,2,FALSE)</f>
        <v>#N/A</v>
      </c>
      <c r="I285" s="1" t="e">
        <f>VLOOKUP(C285,CHEGADA!A:B,2,FALSE)</f>
        <v>#N/A</v>
      </c>
    </row>
    <row r="286" spans="4:9">
      <c r="D286" s="2" t="str">
        <f>IFERROR(LEFT(Tabela1[[#This Row],[N°S]],LEN(Tabela1[[#This Row],[N°S]])-1),"")</f>
        <v/>
      </c>
      <c r="E286" s="1" t="str" cm="1">
        <f t="array" ref="E286">IFERROR(time_diff_cor(Tabela1[[#This Row],[Largada]],Tabela1[[#This Row],[Chegada]]),"00:20:00:000")</f>
        <v>00:20:00:000</v>
      </c>
      <c r="F286" s="1" t="str" cm="1">
        <f t="array" ref="F286">IFERROR(time_diff(Tabela1[[#This Row],[TEMPO]],E285),"00:00:00:000")</f>
        <v>00:00:00:00</v>
      </c>
      <c r="G286" s="1" t="str" cm="1">
        <f t="array" aca="1" ref="G286" ca="1">IF(Tabela1[[#This Row],[N°]]=D285,time_sum(Tabela1[[#This Row],[TEMPO]],E285),Tabela1[[#This Row],[TEMPO]])</f>
        <v>00:40:00:000</v>
      </c>
      <c r="H286" s="1" t="e">
        <f>VLOOKUP(C286,LARGADA!A:B,2,FALSE)</f>
        <v>#N/A</v>
      </c>
      <c r="I286" s="1" t="e">
        <f>VLOOKUP(C286,CHEGADA!A:B,2,FALSE)</f>
        <v>#N/A</v>
      </c>
    </row>
    <row r="287" spans="4:9">
      <c r="D287" s="2" t="str">
        <f>IFERROR(LEFT(Tabela1[[#This Row],[N°S]],LEN(Tabela1[[#This Row],[N°S]])-1),"")</f>
        <v/>
      </c>
      <c r="E287" s="1" t="str" cm="1">
        <f t="array" ref="E287">IFERROR(time_diff_cor(Tabela1[[#This Row],[Largada]],Tabela1[[#This Row],[Chegada]]),"00:20:00:000")</f>
        <v>00:20:00:000</v>
      </c>
      <c r="F287" s="1" t="str" cm="1">
        <f t="array" ref="F287">IFERROR(time_diff(Tabela1[[#This Row],[TEMPO]],E286),"00:00:00:000")</f>
        <v>00:00:00:00</v>
      </c>
      <c r="G287" s="1" t="str" cm="1">
        <f t="array" aca="1" ref="G287" ca="1">IF(Tabela1[[#This Row],[N°]]=D286,time_sum(Tabela1[[#This Row],[TEMPO]],E286),Tabela1[[#This Row],[TEMPO]])</f>
        <v>00:40:00:000</v>
      </c>
      <c r="H287" s="1" t="e">
        <f>VLOOKUP(C287,LARGADA!A:B,2,FALSE)</f>
        <v>#N/A</v>
      </c>
      <c r="I287" s="1" t="e">
        <f>VLOOKUP(C287,CHEGADA!A:B,2,FALSE)</f>
        <v>#N/A</v>
      </c>
    </row>
    <row r="288" spans="4:9">
      <c r="D288" s="2" t="str">
        <f>IFERROR(LEFT(Tabela1[[#This Row],[N°S]],LEN(Tabela1[[#This Row],[N°S]])-1),"")</f>
        <v/>
      </c>
      <c r="E288" s="1" t="str" cm="1">
        <f t="array" ref="E288">IFERROR(time_diff_cor(Tabela1[[#This Row],[Largada]],Tabela1[[#This Row],[Chegada]]),"00:20:00:000")</f>
        <v>00:20:00:000</v>
      </c>
      <c r="F288" s="1" t="str" cm="1">
        <f t="array" ref="F288">IFERROR(time_diff(Tabela1[[#This Row],[TEMPO]],E287),"00:00:00:000")</f>
        <v>00:00:00:00</v>
      </c>
      <c r="G288" s="1" t="str" cm="1">
        <f t="array" aca="1" ref="G288" ca="1">IF(Tabela1[[#This Row],[N°]]=D287,time_sum(Tabela1[[#This Row],[TEMPO]],E287),Tabela1[[#This Row],[TEMPO]])</f>
        <v>00:40:00:000</v>
      </c>
      <c r="H288" s="1" t="e">
        <f>VLOOKUP(C288,LARGADA!A:B,2,FALSE)</f>
        <v>#N/A</v>
      </c>
      <c r="I288" s="1" t="e">
        <f>VLOOKUP(C288,CHEGADA!A:B,2,FALSE)</f>
        <v>#N/A</v>
      </c>
    </row>
    <row r="289" spans="4:9">
      <c r="D289" s="2" t="str">
        <f>IFERROR(LEFT(Tabela1[[#This Row],[N°S]],LEN(Tabela1[[#This Row],[N°S]])-1),"")</f>
        <v/>
      </c>
      <c r="E289" s="1" t="str" cm="1">
        <f t="array" ref="E289">IFERROR(time_diff_cor(Tabela1[[#This Row],[Largada]],Tabela1[[#This Row],[Chegada]]),"00:20:00:000")</f>
        <v>00:20:00:000</v>
      </c>
      <c r="F289" s="1" t="str" cm="1">
        <f t="array" ref="F289">IFERROR(time_diff(Tabela1[[#This Row],[TEMPO]],E288),"00:00:00:000")</f>
        <v>00:00:00:00</v>
      </c>
      <c r="G289" s="1" t="str" cm="1">
        <f t="array" aca="1" ref="G289" ca="1">IF(Tabela1[[#This Row],[N°]]=D288,time_sum(Tabela1[[#This Row],[TEMPO]],E288),Tabela1[[#This Row],[TEMPO]])</f>
        <v>00:40:00:000</v>
      </c>
      <c r="H289" s="1" t="e">
        <f>VLOOKUP(C289,LARGADA!A:B,2,FALSE)</f>
        <v>#N/A</v>
      </c>
      <c r="I289" s="1" t="e">
        <f>VLOOKUP(C289,CHEGADA!A:B,2,FALSE)</f>
        <v>#N/A</v>
      </c>
    </row>
    <row r="290" spans="4:9">
      <c r="D290" s="2" t="str">
        <f>IFERROR(LEFT(Tabela1[[#This Row],[N°S]],LEN(Tabela1[[#This Row],[N°S]])-1),"")</f>
        <v/>
      </c>
      <c r="E290" s="1" t="str" cm="1">
        <f t="array" ref="E290">IFERROR(time_diff_cor(Tabela1[[#This Row],[Largada]],Tabela1[[#This Row],[Chegada]]),"00:20:00:000")</f>
        <v>00:20:00:000</v>
      </c>
      <c r="F290" s="1" t="str" cm="1">
        <f t="array" ref="F290">IFERROR(time_diff(Tabela1[[#This Row],[TEMPO]],E289),"00:00:00:000")</f>
        <v>00:00:00:00</v>
      </c>
      <c r="G290" s="1" t="str" cm="1">
        <f t="array" aca="1" ref="G290" ca="1">IF(Tabela1[[#This Row],[N°]]=D289,time_sum(Tabela1[[#This Row],[TEMPO]],E289),Tabela1[[#This Row],[TEMPO]])</f>
        <v>00:40:00:000</v>
      </c>
      <c r="H290" s="1" t="e">
        <f>VLOOKUP(C290,LARGADA!A:B,2,FALSE)</f>
        <v>#N/A</v>
      </c>
      <c r="I290" s="1" t="e">
        <f>VLOOKUP(C290,CHEGADA!A:B,2,FALSE)</f>
        <v>#N/A</v>
      </c>
    </row>
    <row r="291" spans="4:9">
      <c r="D291" s="2" t="str">
        <f>IFERROR(LEFT(Tabela1[[#This Row],[N°S]],LEN(Tabela1[[#This Row],[N°S]])-1),"")</f>
        <v/>
      </c>
      <c r="E291" s="1" t="str" cm="1">
        <f t="array" ref="E291">IFERROR(time_diff_cor(Tabela1[[#This Row],[Largada]],Tabela1[[#This Row],[Chegada]]),"00:20:00:000")</f>
        <v>00:20:00:000</v>
      </c>
      <c r="F291" s="1" t="str" cm="1">
        <f t="array" ref="F291">IFERROR(time_diff(Tabela1[[#This Row],[TEMPO]],E290),"00:00:00:000")</f>
        <v>00:00:00:00</v>
      </c>
      <c r="G291" s="1" t="str" cm="1">
        <f t="array" aca="1" ref="G291" ca="1">IF(Tabela1[[#This Row],[N°]]=D290,time_sum(Tabela1[[#This Row],[TEMPO]],E290),Tabela1[[#This Row],[TEMPO]])</f>
        <v>00:40:00:000</v>
      </c>
      <c r="H291" s="1" t="e">
        <f>VLOOKUP(C291,LARGADA!A:B,2,FALSE)</f>
        <v>#N/A</v>
      </c>
      <c r="I291" s="1" t="e">
        <f>VLOOKUP(C291,CHEGADA!A:B,2,FALSE)</f>
        <v>#N/A</v>
      </c>
    </row>
    <row r="292" spans="4:9">
      <c r="D292" s="2" t="str">
        <f>IFERROR(LEFT(Tabela1[[#This Row],[N°S]],LEN(Tabela1[[#This Row],[N°S]])-1),"")</f>
        <v/>
      </c>
      <c r="E292" s="1" t="str" cm="1">
        <f t="array" ref="E292">IFERROR(time_diff_cor(Tabela1[[#This Row],[Largada]],Tabela1[[#This Row],[Chegada]]),"00:20:00:000")</f>
        <v>00:20:00:000</v>
      </c>
      <c r="F292" s="1" t="str" cm="1">
        <f t="array" ref="F292">IFERROR(time_diff(Tabela1[[#This Row],[TEMPO]],E291),"00:00:00:000")</f>
        <v>00:00:00:00</v>
      </c>
      <c r="G292" s="1" t="str" cm="1">
        <f t="array" aca="1" ref="G292" ca="1">IF(Tabela1[[#This Row],[N°]]=D291,time_sum(Tabela1[[#This Row],[TEMPO]],E291),Tabela1[[#This Row],[TEMPO]])</f>
        <v>00:40:00:000</v>
      </c>
      <c r="H292" s="1" t="e">
        <f>VLOOKUP(C292,LARGADA!A:B,2,FALSE)</f>
        <v>#N/A</v>
      </c>
      <c r="I292" s="1" t="e">
        <f>VLOOKUP(C292,CHEGADA!A:B,2,FALSE)</f>
        <v>#N/A</v>
      </c>
    </row>
    <row r="293" spans="4:9">
      <c r="D293" s="2" t="str">
        <f>IFERROR(LEFT(Tabela1[[#This Row],[N°S]],LEN(Tabela1[[#This Row],[N°S]])-1),"")</f>
        <v/>
      </c>
      <c r="E293" s="1" t="str" cm="1">
        <f t="array" ref="E293">IFERROR(time_diff_cor(Tabela1[[#This Row],[Largada]],Tabela1[[#This Row],[Chegada]]),"00:20:00:000")</f>
        <v>00:20:00:000</v>
      </c>
      <c r="F293" s="1" t="str" cm="1">
        <f t="array" ref="F293">IFERROR(time_diff(Tabela1[[#This Row],[TEMPO]],E292),"00:00:00:000")</f>
        <v>00:00:00:00</v>
      </c>
      <c r="G293" s="1" t="str" cm="1">
        <f t="array" aca="1" ref="G293" ca="1">IF(Tabela1[[#This Row],[N°]]=D292,time_sum(Tabela1[[#This Row],[TEMPO]],E292),Tabela1[[#This Row],[TEMPO]])</f>
        <v>00:40:00:000</v>
      </c>
      <c r="H293" s="1" t="e">
        <f>VLOOKUP(C293,LARGADA!A:B,2,FALSE)</f>
        <v>#N/A</v>
      </c>
      <c r="I293" s="1" t="e">
        <f>VLOOKUP(C293,CHEGADA!A:B,2,FALSE)</f>
        <v>#N/A</v>
      </c>
    </row>
    <row r="294" spans="4:9">
      <c r="D294" s="2" t="str">
        <f>IFERROR(LEFT(Tabela1[[#This Row],[N°S]],LEN(Tabela1[[#This Row],[N°S]])-1),"")</f>
        <v/>
      </c>
      <c r="E294" s="1" t="str" cm="1">
        <f t="array" ref="E294">IFERROR(time_diff_cor(Tabela1[[#This Row],[Largada]],Tabela1[[#This Row],[Chegada]]),"00:20:00:000")</f>
        <v>00:20:00:000</v>
      </c>
      <c r="F294" s="1" t="str" cm="1">
        <f t="array" ref="F294">IFERROR(time_diff(Tabela1[[#This Row],[TEMPO]],E293),"00:00:00:000")</f>
        <v>00:00:00:00</v>
      </c>
      <c r="G294" s="1" t="str" cm="1">
        <f t="array" aca="1" ref="G294" ca="1">IF(Tabela1[[#This Row],[N°]]=D293,time_sum(Tabela1[[#This Row],[TEMPO]],E293),Tabela1[[#This Row],[TEMPO]])</f>
        <v>00:40:00:000</v>
      </c>
      <c r="H294" s="1" t="e">
        <f>VLOOKUP(C294,LARGADA!A:B,2,FALSE)</f>
        <v>#N/A</v>
      </c>
      <c r="I294" s="1" t="e">
        <f>VLOOKUP(C294,CHEGADA!A:B,2,FALSE)</f>
        <v>#N/A</v>
      </c>
    </row>
    <row r="295" spans="4:9">
      <c r="D295" s="2" t="str">
        <f>IFERROR(LEFT(Tabela1[[#This Row],[N°S]],LEN(Tabela1[[#This Row],[N°S]])-1),"")</f>
        <v/>
      </c>
      <c r="E295" s="1" t="str" cm="1">
        <f t="array" ref="E295">IFERROR(time_diff_cor(Tabela1[[#This Row],[Largada]],Tabela1[[#This Row],[Chegada]]),"00:20:00:000")</f>
        <v>00:20:00:000</v>
      </c>
      <c r="F295" s="1" t="str" cm="1">
        <f t="array" ref="F295">IFERROR(time_diff(Tabela1[[#This Row],[TEMPO]],E294),"00:00:00:000")</f>
        <v>00:00:00:00</v>
      </c>
      <c r="G295" s="1" t="str" cm="1">
        <f t="array" aca="1" ref="G295" ca="1">IF(Tabela1[[#This Row],[N°]]=D294,time_sum(Tabela1[[#This Row],[TEMPO]],E294),Tabela1[[#This Row],[TEMPO]])</f>
        <v>00:40:00:000</v>
      </c>
      <c r="H295" s="1" t="e">
        <f>VLOOKUP(C295,LARGADA!A:B,2,FALSE)</f>
        <v>#N/A</v>
      </c>
      <c r="I295" s="1" t="e">
        <f>VLOOKUP(C295,CHEGADA!A:B,2,FALSE)</f>
        <v>#N/A</v>
      </c>
    </row>
    <row r="296" spans="4:9">
      <c r="D296" s="2" t="str">
        <f>IFERROR(LEFT(Tabela1[[#This Row],[N°S]],LEN(Tabela1[[#This Row],[N°S]])-1),"")</f>
        <v/>
      </c>
      <c r="E296" s="1" t="str" cm="1">
        <f t="array" ref="E296">IFERROR(time_diff_cor(Tabela1[[#This Row],[Largada]],Tabela1[[#This Row],[Chegada]]),"00:20:00:000")</f>
        <v>00:20:00:000</v>
      </c>
      <c r="F296" s="1" t="str" cm="1">
        <f t="array" ref="F296">IFERROR(time_diff(Tabela1[[#This Row],[TEMPO]],E295),"00:00:00:000")</f>
        <v>00:00:00:00</v>
      </c>
      <c r="G296" s="1" t="str" cm="1">
        <f t="array" aca="1" ref="G296" ca="1">IF(Tabela1[[#This Row],[N°]]=D295,time_sum(Tabela1[[#This Row],[TEMPO]],E295),Tabela1[[#This Row],[TEMPO]])</f>
        <v>00:40:00:000</v>
      </c>
      <c r="H296" s="1" t="e">
        <f>VLOOKUP(C296,LARGADA!A:B,2,FALSE)</f>
        <v>#N/A</v>
      </c>
      <c r="I296" s="1" t="e">
        <f>VLOOKUP(C296,CHEGADA!A:B,2,FALSE)</f>
        <v>#N/A</v>
      </c>
    </row>
    <row r="297" spans="4:9">
      <c r="D297" s="2" t="str">
        <f>IFERROR(LEFT(Tabela1[[#This Row],[N°S]],LEN(Tabela1[[#This Row],[N°S]])-1),"")</f>
        <v/>
      </c>
      <c r="E297" s="1" t="str" cm="1">
        <f t="array" ref="E297">IFERROR(time_diff_cor(Tabela1[[#This Row],[Largada]],Tabela1[[#This Row],[Chegada]]),"00:20:00:000")</f>
        <v>00:20:00:000</v>
      </c>
      <c r="F297" s="1" t="str" cm="1">
        <f t="array" ref="F297">IFERROR(time_diff(Tabela1[[#This Row],[TEMPO]],E296),"00:00:00:000")</f>
        <v>00:00:00:00</v>
      </c>
      <c r="G297" s="1" t="str" cm="1">
        <f t="array" aca="1" ref="G297" ca="1">IF(Tabela1[[#This Row],[N°]]=D296,time_sum(Tabela1[[#This Row],[TEMPO]],E296),Tabela1[[#This Row],[TEMPO]])</f>
        <v>00:40:00:000</v>
      </c>
      <c r="H297" s="1" t="e">
        <f>VLOOKUP(C297,LARGADA!A:B,2,FALSE)</f>
        <v>#N/A</v>
      </c>
      <c r="I297" s="1" t="e">
        <f>VLOOKUP(C297,CHEGADA!A:B,2,FALSE)</f>
        <v>#N/A</v>
      </c>
    </row>
    <row r="298" spans="4:9">
      <c r="D298" s="2" t="str">
        <f>IFERROR(LEFT(Tabela1[[#This Row],[N°S]],LEN(Tabela1[[#This Row],[N°S]])-1),"")</f>
        <v/>
      </c>
      <c r="E298" s="1" t="str" cm="1">
        <f t="array" ref="E298">IFERROR(time_diff_cor(Tabela1[[#This Row],[Largada]],Tabela1[[#This Row],[Chegada]]),"00:20:00:000")</f>
        <v>00:20:00:000</v>
      </c>
      <c r="F298" s="1" t="str" cm="1">
        <f t="array" ref="F298">IFERROR(time_diff(Tabela1[[#This Row],[TEMPO]],E297),"00:00:00:000")</f>
        <v>00:00:00:00</v>
      </c>
      <c r="G298" s="1" t="str" cm="1">
        <f t="array" aca="1" ref="G298" ca="1">IF(Tabela1[[#This Row],[N°]]=D297,time_sum(Tabela1[[#This Row],[TEMPO]],E297),Tabela1[[#This Row],[TEMPO]])</f>
        <v>00:40:00:000</v>
      </c>
      <c r="H298" s="1" t="e">
        <f>VLOOKUP(C298,LARGADA!A:B,2,FALSE)</f>
        <v>#N/A</v>
      </c>
      <c r="I298" s="1" t="e">
        <f>VLOOKUP(C298,CHEGADA!A:B,2,FALSE)</f>
        <v>#N/A</v>
      </c>
    </row>
    <row r="299" spans="4:9">
      <c r="D299" s="2" t="str">
        <f>IFERROR(LEFT(Tabela1[[#This Row],[N°S]],LEN(Tabela1[[#This Row],[N°S]])-1),"")</f>
        <v/>
      </c>
      <c r="E299" s="1" t="str" cm="1">
        <f t="array" ref="E299">IFERROR(time_diff_cor(Tabela1[[#This Row],[Largada]],Tabela1[[#This Row],[Chegada]]),"00:20:00:000")</f>
        <v>00:20:00:000</v>
      </c>
      <c r="F299" s="1" t="str" cm="1">
        <f t="array" ref="F299">IFERROR(time_diff(Tabela1[[#This Row],[TEMPO]],E298),"00:00:00:000")</f>
        <v>00:00:00:00</v>
      </c>
      <c r="G299" s="1" t="str" cm="1">
        <f t="array" aca="1" ref="G299" ca="1">IF(Tabela1[[#This Row],[N°]]=D298,time_sum(Tabela1[[#This Row],[TEMPO]],E298),Tabela1[[#This Row],[TEMPO]])</f>
        <v>00:40:00:000</v>
      </c>
      <c r="H299" s="1" t="e">
        <f>VLOOKUP(C299,LARGADA!A:B,2,FALSE)</f>
        <v>#N/A</v>
      </c>
      <c r="I299" s="1" t="e">
        <f>VLOOKUP(C299,CHEGADA!A:B,2,FALSE)</f>
        <v>#N/A</v>
      </c>
    </row>
    <row r="300" spans="4:9">
      <c r="D300" s="2" t="str">
        <f>IFERROR(LEFT(Tabela1[[#This Row],[N°S]],LEN(Tabela1[[#This Row],[N°S]])-1),"")</f>
        <v/>
      </c>
      <c r="E300" s="1" t="str" cm="1">
        <f t="array" ref="E300">IFERROR(time_diff_cor(Tabela1[[#This Row],[Largada]],Tabela1[[#This Row],[Chegada]]),"00:20:00:000")</f>
        <v>00:20:00:000</v>
      </c>
      <c r="F300" s="1" t="str" cm="1">
        <f t="array" ref="F300">IFERROR(time_diff(Tabela1[[#This Row],[TEMPO]],E299),"00:00:00:000")</f>
        <v>00:00:00:00</v>
      </c>
      <c r="G300" s="1" t="str" cm="1">
        <f t="array" aca="1" ref="G300" ca="1">IF(Tabela1[[#This Row],[N°]]=D299,time_sum(Tabela1[[#This Row],[TEMPO]],E299),Tabela1[[#This Row],[TEMPO]])</f>
        <v>00:40:00:000</v>
      </c>
      <c r="H300" s="1" t="e">
        <f>VLOOKUP(C300,LARGADA!A:B,2,FALSE)</f>
        <v>#N/A</v>
      </c>
      <c r="I300" s="1" t="e">
        <f>VLOOKUP(C300,CHEGADA!A:B,2,FALSE)</f>
        <v>#N/A</v>
      </c>
    </row>
    <row r="301" spans="4:9">
      <c r="D301" s="2" t="str">
        <f>IFERROR(LEFT(Tabela1[[#This Row],[N°S]],LEN(Tabela1[[#This Row],[N°S]])-1),"")</f>
        <v/>
      </c>
      <c r="E301" s="1" t="str" cm="1">
        <f t="array" ref="E301">IFERROR(time_diff_cor(Tabela1[[#This Row],[Largada]],Tabela1[[#This Row],[Chegada]]),"00:20:00:000")</f>
        <v>00:20:00:000</v>
      </c>
      <c r="F301" s="1" t="str" cm="1">
        <f t="array" ref="F301">IFERROR(time_diff(Tabela1[[#This Row],[TEMPO]],E300),"00:00:00:000")</f>
        <v>00:00:00:00</v>
      </c>
      <c r="G301" s="1" t="str" cm="1">
        <f t="array" aca="1" ref="G301" ca="1">IF(Tabela1[[#This Row],[N°]]=D300,time_sum(Tabela1[[#This Row],[TEMPO]],E300),Tabela1[[#This Row],[TEMPO]])</f>
        <v>00:40:00:000</v>
      </c>
      <c r="H301" s="1" t="e">
        <f>VLOOKUP(C301,LARGADA!A:B,2,FALSE)</f>
        <v>#N/A</v>
      </c>
      <c r="I301" s="1" t="e">
        <f>VLOOKUP(C301,CHEGADA!A:B,2,FALSE)</f>
        <v>#N/A</v>
      </c>
    </row>
    <row r="302" spans="4:9">
      <c r="D302" s="2" t="str">
        <f>IFERROR(LEFT(Tabela1[[#This Row],[N°S]],LEN(Tabela1[[#This Row],[N°S]])-1),"")</f>
        <v/>
      </c>
      <c r="E302" s="1" t="str" cm="1">
        <f t="array" ref="E302">IFERROR(time_diff_cor(Tabela1[[#This Row],[Largada]],Tabela1[[#This Row],[Chegada]]),"00:20:00:000")</f>
        <v>00:20:00:000</v>
      </c>
      <c r="F302" s="1" t="str" cm="1">
        <f t="array" ref="F302">IFERROR(time_diff(Tabela1[[#This Row],[TEMPO]],E301),"00:00:00:000")</f>
        <v>00:00:00:00</v>
      </c>
      <c r="G302" s="1" t="str" cm="1">
        <f t="array" aca="1" ref="G302" ca="1">IF(Tabela1[[#This Row],[N°]]=D301,time_sum(Tabela1[[#This Row],[TEMPO]],E301),Tabela1[[#This Row],[TEMPO]])</f>
        <v>00:40:00:000</v>
      </c>
      <c r="H302" s="1" t="e">
        <f>VLOOKUP(C302,LARGADA!A:B,2,FALSE)</f>
        <v>#N/A</v>
      </c>
      <c r="I302" s="1" t="e">
        <f>VLOOKUP(C302,CHEGADA!A:B,2,FALSE)</f>
        <v>#N/A</v>
      </c>
    </row>
    <row r="303" spans="4:9">
      <c r="D303" s="2" t="str">
        <f>IFERROR(LEFT(Tabela1[[#This Row],[N°S]],LEN(Tabela1[[#This Row],[N°S]])-1),"")</f>
        <v/>
      </c>
      <c r="E303" s="1" t="str" cm="1">
        <f t="array" ref="E303">IFERROR(time_diff_cor(Tabela1[[#This Row],[Largada]],Tabela1[[#This Row],[Chegada]]),"00:20:00:000")</f>
        <v>00:20:00:000</v>
      </c>
      <c r="F303" s="1" t="str" cm="1">
        <f t="array" ref="F303">IFERROR(time_diff(Tabela1[[#This Row],[TEMPO]],E302),"00:00:00:000")</f>
        <v>00:00:00:00</v>
      </c>
      <c r="G303" s="1" t="str" cm="1">
        <f t="array" aca="1" ref="G303" ca="1">IF(Tabela1[[#This Row],[N°]]=D302,time_sum(Tabela1[[#This Row],[TEMPO]],E302),Tabela1[[#This Row],[TEMPO]])</f>
        <v>00:40:00:000</v>
      </c>
      <c r="H303" s="1" t="e">
        <f>VLOOKUP(C303,LARGADA!A:B,2,FALSE)</f>
        <v>#N/A</v>
      </c>
      <c r="I303" s="1" t="e">
        <f>VLOOKUP(C303,CHEGADA!A:B,2,FALSE)</f>
        <v>#N/A</v>
      </c>
    </row>
    <row r="304" spans="4:9">
      <c r="D304" s="2" t="str">
        <f>IFERROR(LEFT(Tabela1[[#This Row],[N°S]],LEN(Tabela1[[#This Row],[N°S]])-1),"")</f>
        <v/>
      </c>
      <c r="E304" s="1" t="str" cm="1">
        <f t="array" ref="E304">IFERROR(time_diff_cor(Tabela1[[#This Row],[Largada]],Tabela1[[#This Row],[Chegada]]),"00:20:00:000")</f>
        <v>00:20:00:000</v>
      </c>
      <c r="F304" s="1" t="str" cm="1">
        <f t="array" ref="F304">IFERROR(time_diff(Tabela1[[#This Row],[TEMPO]],E303),"00:00:00:000")</f>
        <v>00:00:00:00</v>
      </c>
      <c r="G304" s="1" t="str" cm="1">
        <f t="array" aca="1" ref="G304" ca="1">IF(Tabela1[[#This Row],[N°]]=D303,time_sum(Tabela1[[#This Row],[TEMPO]],E303),Tabela1[[#This Row],[TEMPO]])</f>
        <v>00:40:00:000</v>
      </c>
      <c r="H304" s="1" t="e">
        <f>VLOOKUP(C304,LARGADA!A:B,2,FALSE)</f>
        <v>#N/A</v>
      </c>
      <c r="I304" s="1" t="e">
        <f>VLOOKUP(C304,CHEGADA!A:B,2,FALSE)</f>
        <v>#N/A</v>
      </c>
    </row>
    <row r="305" spans="4:9">
      <c r="D305" s="2" t="str">
        <f>IFERROR(LEFT(Tabela1[[#This Row],[N°S]],LEN(Tabela1[[#This Row],[N°S]])-1),"")</f>
        <v/>
      </c>
      <c r="E305" s="1" t="str" cm="1">
        <f t="array" ref="E305">IFERROR(time_diff_cor(Tabela1[[#This Row],[Largada]],Tabela1[[#This Row],[Chegada]]),"00:20:00:000")</f>
        <v>00:20:00:000</v>
      </c>
      <c r="F305" s="1" t="str" cm="1">
        <f t="array" ref="F305">IFERROR(time_diff(Tabela1[[#This Row],[TEMPO]],E304),"00:00:00:000")</f>
        <v>00:00:00:00</v>
      </c>
      <c r="G305" s="1" t="str" cm="1">
        <f t="array" aca="1" ref="G305" ca="1">IF(Tabela1[[#This Row],[N°]]=D304,time_sum(Tabela1[[#This Row],[TEMPO]],E304),Tabela1[[#This Row],[TEMPO]])</f>
        <v>00:40:00:000</v>
      </c>
      <c r="H305" s="1" t="e">
        <f>VLOOKUP(C305,LARGADA!A:B,2,FALSE)</f>
        <v>#N/A</v>
      </c>
      <c r="I305" s="1" t="e">
        <f>VLOOKUP(C305,CHEGADA!A:B,2,FALSE)</f>
        <v>#N/A</v>
      </c>
    </row>
    <row r="306" spans="4:9">
      <c r="D306" s="2" t="str">
        <f>IFERROR(LEFT(Tabela1[[#This Row],[N°S]],LEN(Tabela1[[#This Row],[N°S]])-1),"")</f>
        <v/>
      </c>
      <c r="E306" s="1" t="str" cm="1">
        <f t="array" ref="E306">IFERROR(time_diff_cor(Tabela1[[#This Row],[Largada]],Tabela1[[#This Row],[Chegada]]),"00:20:00:000")</f>
        <v>00:20:00:000</v>
      </c>
      <c r="F306" s="1" t="str" cm="1">
        <f t="array" ref="F306">IFERROR(time_diff(Tabela1[[#This Row],[TEMPO]],E305),"00:00:00:000")</f>
        <v>00:00:00:00</v>
      </c>
      <c r="G306" s="1" t="str" cm="1">
        <f t="array" aca="1" ref="G306" ca="1">IF(Tabela1[[#This Row],[N°]]=D305,time_sum(Tabela1[[#This Row],[TEMPO]],E305),Tabela1[[#This Row],[TEMPO]])</f>
        <v>00:40:00:000</v>
      </c>
      <c r="H306" s="1" t="e">
        <f>VLOOKUP(C306,LARGADA!A:B,2,FALSE)</f>
        <v>#N/A</v>
      </c>
      <c r="I306" s="1" t="e">
        <f>VLOOKUP(C306,CHEGADA!A:B,2,FALSE)</f>
        <v>#N/A</v>
      </c>
    </row>
    <row r="307" spans="4:9">
      <c r="D307" s="2" t="str">
        <f>IFERROR(LEFT(Tabela1[[#This Row],[N°S]],LEN(Tabela1[[#This Row],[N°S]])-1),"")</f>
        <v/>
      </c>
      <c r="E307" s="1" t="str" cm="1">
        <f t="array" ref="E307">IFERROR(time_diff_cor(Tabela1[[#This Row],[Largada]],Tabela1[[#This Row],[Chegada]]),"00:20:00:000")</f>
        <v>00:20:00:000</v>
      </c>
      <c r="F307" s="1" t="str" cm="1">
        <f t="array" ref="F307">IFERROR(time_diff(Tabela1[[#This Row],[TEMPO]],E306),"00:00:00:000")</f>
        <v>00:00:00:00</v>
      </c>
      <c r="G307" s="1" t="str" cm="1">
        <f t="array" aca="1" ref="G307" ca="1">IF(Tabela1[[#This Row],[N°]]=D306,time_sum(Tabela1[[#This Row],[TEMPO]],E306),Tabela1[[#This Row],[TEMPO]])</f>
        <v>00:40:00:000</v>
      </c>
      <c r="H307" s="1" t="e">
        <f>VLOOKUP(C307,LARGADA!A:B,2,FALSE)</f>
        <v>#N/A</v>
      </c>
      <c r="I307" s="1" t="e">
        <f>VLOOKUP(C307,CHEGADA!A:B,2,FALSE)</f>
        <v>#N/A</v>
      </c>
    </row>
    <row r="308" spans="4:9">
      <c r="D308" s="2" t="str">
        <f>IFERROR(LEFT(Tabela1[[#This Row],[N°S]],LEN(Tabela1[[#This Row],[N°S]])-1),"")</f>
        <v/>
      </c>
      <c r="E308" s="1" t="str" cm="1">
        <f t="array" ref="E308">IFERROR(time_diff_cor(Tabela1[[#This Row],[Largada]],Tabela1[[#This Row],[Chegada]]),"00:20:00:000")</f>
        <v>00:20:00:000</v>
      </c>
      <c r="F308" s="1" t="str" cm="1">
        <f t="array" ref="F308">IFERROR(time_diff(Tabela1[[#This Row],[TEMPO]],E307),"00:00:00:000")</f>
        <v>00:00:00:00</v>
      </c>
      <c r="G308" s="1" t="str" cm="1">
        <f t="array" aca="1" ref="G308" ca="1">IF(Tabela1[[#This Row],[N°]]=D307,time_sum(Tabela1[[#This Row],[TEMPO]],E307),Tabela1[[#This Row],[TEMPO]])</f>
        <v>00:40:00:000</v>
      </c>
      <c r="H308" s="1" t="e">
        <f>VLOOKUP(C308,LARGADA!A:B,2,FALSE)</f>
        <v>#N/A</v>
      </c>
      <c r="I308" s="1" t="e">
        <f>VLOOKUP(C308,CHEGADA!A:B,2,FALSE)</f>
        <v>#N/A</v>
      </c>
    </row>
    <row r="309" spans="4:9">
      <c r="D309" s="2" t="str">
        <f>IFERROR(LEFT(Tabela1[[#This Row],[N°S]],LEN(Tabela1[[#This Row],[N°S]])-1),"")</f>
        <v/>
      </c>
      <c r="E309" s="1" t="str" cm="1">
        <f t="array" ref="E309">IFERROR(time_diff_cor(Tabela1[[#This Row],[Largada]],Tabela1[[#This Row],[Chegada]]),"00:20:00:000")</f>
        <v>00:20:00:000</v>
      </c>
      <c r="F309" s="1" t="str" cm="1">
        <f t="array" ref="F309">IFERROR(time_diff(Tabela1[[#This Row],[TEMPO]],E308),"00:00:00:000")</f>
        <v>00:00:00:00</v>
      </c>
      <c r="G309" s="1" t="str" cm="1">
        <f t="array" aca="1" ref="G309" ca="1">IF(Tabela1[[#This Row],[N°]]=D308,time_sum(Tabela1[[#This Row],[TEMPO]],E308),Tabela1[[#This Row],[TEMPO]])</f>
        <v>00:40:00:000</v>
      </c>
      <c r="H309" s="1" t="e">
        <f>VLOOKUP(C309,LARGADA!A:B,2,FALSE)</f>
        <v>#N/A</v>
      </c>
      <c r="I309" s="1" t="e">
        <f>VLOOKUP(C309,CHEGADA!A:B,2,FALSE)</f>
        <v>#N/A</v>
      </c>
    </row>
    <row r="310" spans="4:9">
      <c r="D310" s="2" t="str">
        <f>IFERROR(LEFT(Tabela1[[#This Row],[N°S]],LEN(Tabela1[[#This Row],[N°S]])-1),"")</f>
        <v/>
      </c>
      <c r="E310" s="1" t="str" cm="1">
        <f t="array" ref="E310">IFERROR(time_diff_cor(Tabela1[[#This Row],[Largada]],Tabela1[[#This Row],[Chegada]]),"00:20:00:000")</f>
        <v>00:20:00:000</v>
      </c>
      <c r="F310" s="1" t="str" cm="1">
        <f t="array" ref="F310">IFERROR(time_diff(Tabela1[[#This Row],[TEMPO]],E309),"00:00:00:000")</f>
        <v>00:00:00:00</v>
      </c>
      <c r="G310" s="1" t="str" cm="1">
        <f t="array" aca="1" ref="G310" ca="1">IF(Tabela1[[#This Row],[N°]]=D309,time_sum(Tabela1[[#This Row],[TEMPO]],E309),Tabela1[[#This Row],[TEMPO]])</f>
        <v>00:40:00:000</v>
      </c>
      <c r="H310" s="1" t="e">
        <f>VLOOKUP(C310,LARGADA!A:B,2,FALSE)</f>
        <v>#N/A</v>
      </c>
      <c r="I310" s="1" t="e">
        <f>VLOOKUP(C310,CHEGADA!A:B,2,FALSE)</f>
        <v>#N/A</v>
      </c>
    </row>
    <row r="311" spans="4:9">
      <c r="D311" s="2" t="str">
        <f>IFERROR(LEFT(Tabela1[[#This Row],[N°S]],LEN(Tabela1[[#This Row],[N°S]])-1),"")</f>
        <v/>
      </c>
      <c r="E311" s="1" t="str" cm="1">
        <f t="array" ref="E311">IFERROR(time_diff_cor(Tabela1[[#This Row],[Largada]],Tabela1[[#This Row],[Chegada]]),"00:20:00:000")</f>
        <v>00:20:00:000</v>
      </c>
      <c r="F311" s="1" t="str" cm="1">
        <f t="array" ref="F311">IFERROR(time_diff(Tabela1[[#This Row],[TEMPO]],E310),"00:00:00:000")</f>
        <v>00:00:00:00</v>
      </c>
      <c r="G311" s="1" t="str" cm="1">
        <f t="array" aca="1" ref="G311" ca="1">IF(Tabela1[[#This Row],[N°]]=D310,time_sum(Tabela1[[#This Row],[TEMPO]],E310),Tabela1[[#This Row],[TEMPO]])</f>
        <v>00:40:00:000</v>
      </c>
      <c r="H311" s="1" t="e">
        <f>VLOOKUP(C311,LARGADA!A:B,2,FALSE)</f>
        <v>#N/A</v>
      </c>
      <c r="I311" s="1" t="e">
        <f>VLOOKUP(C311,CHEGADA!A:B,2,FALSE)</f>
        <v>#N/A</v>
      </c>
    </row>
    <row r="312" spans="4:9">
      <c r="D312" s="2" t="str">
        <f>IFERROR(LEFT(Tabela1[[#This Row],[N°S]],LEN(Tabela1[[#This Row],[N°S]])-1),"")</f>
        <v/>
      </c>
      <c r="E312" s="1" t="str" cm="1">
        <f t="array" ref="E312">IFERROR(time_diff_cor(Tabela1[[#This Row],[Largada]],Tabela1[[#This Row],[Chegada]]),"00:20:00:000")</f>
        <v>00:20:00:000</v>
      </c>
      <c r="F312" s="1" t="str" cm="1">
        <f t="array" ref="F312">IFERROR(time_diff(Tabela1[[#This Row],[TEMPO]],E311),"00:00:00:000")</f>
        <v>00:00:00:00</v>
      </c>
      <c r="G312" s="1" t="str" cm="1">
        <f t="array" aca="1" ref="G312" ca="1">IF(Tabela1[[#This Row],[N°]]=D311,time_sum(Tabela1[[#This Row],[TEMPO]],E311),Tabela1[[#This Row],[TEMPO]])</f>
        <v>00:40:00:000</v>
      </c>
      <c r="H312" s="1" t="e">
        <f>VLOOKUP(C312,LARGADA!A:B,2,FALSE)</f>
        <v>#N/A</v>
      </c>
      <c r="I312" s="1" t="e">
        <f>VLOOKUP(C312,CHEGADA!A:B,2,FALSE)</f>
        <v>#N/A</v>
      </c>
    </row>
    <row r="313" spans="4:9">
      <c r="D313" s="2" t="str">
        <f>IFERROR(LEFT(Tabela1[[#This Row],[N°S]],LEN(Tabela1[[#This Row],[N°S]])-1),"")</f>
        <v/>
      </c>
      <c r="E313" s="1" t="str" cm="1">
        <f t="array" ref="E313">IFERROR(time_diff_cor(Tabela1[[#This Row],[Largada]],Tabela1[[#This Row],[Chegada]]),"00:20:00:000")</f>
        <v>00:20:00:000</v>
      </c>
      <c r="F313" s="1" t="str" cm="1">
        <f t="array" ref="F313">IFERROR(time_diff(Tabela1[[#This Row],[TEMPO]],E312),"00:00:00:000")</f>
        <v>00:00:00:00</v>
      </c>
      <c r="G313" s="1" t="str" cm="1">
        <f t="array" aca="1" ref="G313" ca="1">IF(Tabela1[[#This Row],[N°]]=D312,time_sum(Tabela1[[#This Row],[TEMPO]],E312),Tabela1[[#This Row],[TEMPO]])</f>
        <v>00:40:00:000</v>
      </c>
      <c r="H313" s="1" t="e">
        <f>VLOOKUP(C313,LARGADA!A:B,2,FALSE)</f>
        <v>#N/A</v>
      </c>
      <c r="I313" s="1" t="e">
        <f>VLOOKUP(C313,CHEGADA!A:B,2,FALSE)</f>
        <v>#N/A</v>
      </c>
    </row>
    <row r="314" spans="4:9">
      <c r="D314" s="2" t="str">
        <f>IFERROR(LEFT(Tabela1[[#This Row],[N°S]],LEN(Tabela1[[#This Row],[N°S]])-1),"")</f>
        <v/>
      </c>
      <c r="E314" s="1" t="str" cm="1">
        <f t="array" ref="E314">IFERROR(time_diff_cor(Tabela1[[#This Row],[Largada]],Tabela1[[#This Row],[Chegada]]),"00:20:00:000")</f>
        <v>00:20:00:000</v>
      </c>
      <c r="F314" s="1" t="str" cm="1">
        <f t="array" ref="F314">IFERROR(time_diff(Tabela1[[#This Row],[TEMPO]],E313),"00:00:00:000")</f>
        <v>00:00:00:00</v>
      </c>
      <c r="G314" s="1" t="str" cm="1">
        <f t="array" aca="1" ref="G314" ca="1">IF(Tabela1[[#This Row],[N°]]=D313,time_sum(Tabela1[[#This Row],[TEMPO]],E313),Tabela1[[#This Row],[TEMPO]])</f>
        <v>00:40:00:000</v>
      </c>
      <c r="H314" s="1" t="e">
        <f>VLOOKUP(C314,LARGADA!A:B,2,FALSE)</f>
        <v>#N/A</v>
      </c>
      <c r="I314" s="1" t="e">
        <f>VLOOKUP(C314,CHEGADA!A:B,2,FALSE)</f>
        <v>#N/A</v>
      </c>
    </row>
    <row r="315" spans="4:9">
      <c r="D315" s="2" t="str">
        <f>IFERROR(LEFT(Tabela1[[#This Row],[N°S]],LEN(Tabela1[[#This Row],[N°S]])-1),"")</f>
        <v/>
      </c>
      <c r="E315" s="1" t="str" cm="1">
        <f t="array" ref="E315">IFERROR(time_diff_cor(Tabela1[[#This Row],[Largada]],Tabela1[[#This Row],[Chegada]]),"00:20:00:000")</f>
        <v>00:20:00:000</v>
      </c>
      <c r="F315" s="1" t="str" cm="1">
        <f t="array" ref="F315">IFERROR(time_diff(Tabela1[[#This Row],[TEMPO]],E314),"00:00:00:000")</f>
        <v>00:00:00:00</v>
      </c>
      <c r="G315" s="1" t="str" cm="1">
        <f t="array" aca="1" ref="G315" ca="1">IF(Tabela1[[#This Row],[N°]]=D314,time_sum(Tabela1[[#This Row],[TEMPO]],E314),Tabela1[[#This Row],[TEMPO]])</f>
        <v>00:40:00:000</v>
      </c>
      <c r="H315" s="1" t="e">
        <f>VLOOKUP(C315,LARGADA!A:B,2,FALSE)</f>
        <v>#N/A</v>
      </c>
      <c r="I315" s="1" t="e">
        <f>VLOOKUP(C315,CHEGADA!A:B,2,FALSE)</f>
        <v>#N/A</v>
      </c>
    </row>
    <row r="316" spans="4:9">
      <c r="D316" s="2" t="str">
        <f>IFERROR(LEFT(Tabela1[[#This Row],[N°S]],LEN(Tabela1[[#This Row],[N°S]])-1),"")</f>
        <v/>
      </c>
      <c r="E316" s="1" t="str" cm="1">
        <f t="array" ref="E316">IFERROR(time_diff_cor(Tabela1[[#This Row],[Largada]],Tabela1[[#This Row],[Chegada]]),"00:20:00:000")</f>
        <v>00:20:00:000</v>
      </c>
      <c r="F316" s="1" t="str" cm="1">
        <f t="array" ref="F316">IFERROR(time_diff(Tabela1[[#This Row],[TEMPO]],E315),"00:00:00:000")</f>
        <v>00:00:00:00</v>
      </c>
      <c r="G316" s="1" t="str" cm="1">
        <f t="array" aca="1" ref="G316" ca="1">IF(Tabela1[[#This Row],[N°]]=D315,time_sum(Tabela1[[#This Row],[TEMPO]],E315),Tabela1[[#This Row],[TEMPO]])</f>
        <v>00:40:00:000</v>
      </c>
      <c r="H316" s="1" t="e">
        <f>VLOOKUP(C316,LARGADA!A:B,2,FALSE)</f>
        <v>#N/A</v>
      </c>
      <c r="I316" s="1" t="e">
        <f>VLOOKUP(C316,CHEGADA!A:B,2,FALSE)</f>
        <v>#N/A</v>
      </c>
    </row>
    <row r="317" spans="4:9">
      <c r="D317" s="2" t="str">
        <f>IFERROR(LEFT(Tabela1[[#This Row],[N°S]],LEN(Tabela1[[#This Row],[N°S]])-1),"")</f>
        <v/>
      </c>
      <c r="E317" s="1" t="str" cm="1">
        <f t="array" ref="E317">IFERROR(time_diff_cor(Tabela1[[#This Row],[Largada]],Tabela1[[#This Row],[Chegada]]),"00:20:00:000")</f>
        <v>00:20:00:000</v>
      </c>
      <c r="F317" s="1" t="str" cm="1">
        <f t="array" ref="F317">IFERROR(time_diff(Tabela1[[#This Row],[TEMPO]],E316),"00:00:00:000")</f>
        <v>00:00:00:00</v>
      </c>
      <c r="G317" s="1" t="str" cm="1">
        <f t="array" aca="1" ref="G317" ca="1">IF(Tabela1[[#This Row],[N°]]=D316,time_sum(Tabela1[[#This Row],[TEMPO]],E316),Tabela1[[#This Row],[TEMPO]])</f>
        <v>00:40:00:000</v>
      </c>
      <c r="H317" s="1" t="e">
        <f>VLOOKUP(C317,LARGADA!A:B,2,FALSE)</f>
        <v>#N/A</v>
      </c>
      <c r="I317" s="1" t="e">
        <f>VLOOKUP(C317,CHEGADA!A:B,2,FALSE)</f>
        <v>#N/A</v>
      </c>
    </row>
    <row r="318" spans="4:9">
      <c r="D318" s="2" t="str">
        <f>IFERROR(LEFT(Tabela1[[#This Row],[N°S]],LEN(Tabela1[[#This Row],[N°S]])-1),"")</f>
        <v/>
      </c>
      <c r="E318" s="1" t="str" cm="1">
        <f t="array" ref="E318">IFERROR(time_diff_cor(Tabela1[[#This Row],[Largada]],Tabela1[[#This Row],[Chegada]]),"00:20:00:000")</f>
        <v>00:20:00:000</v>
      </c>
      <c r="F318" s="1" t="str" cm="1">
        <f t="array" ref="F318">IFERROR(time_diff(Tabela1[[#This Row],[TEMPO]],E317),"00:00:00:000")</f>
        <v>00:00:00:00</v>
      </c>
      <c r="G318" s="1" t="str" cm="1">
        <f t="array" aca="1" ref="G318" ca="1">IF(Tabela1[[#This Row],[N°]]=D317,time_sum(Tabela1[[#This Row],[TEMPO]],E317),Tabela1[[#This Row],[TEMPO]])</f>
        <v>00:40:00:000</v>
      </c>
      <c r="H318" s="1" t="e">
        <f>VLOOKUP(C318,LARGADA!A:B,2,FALSE)</f>
        <v>#N/A</v>
      </c>
      <c r="I318" s="1" t="e">
        <f>VLOOKUP(C318,CHEGADA!A:B,2,FALSE)</f>
        <v>#N/A</v>
      </c>
    </row>
    <row r="319" spans="4:9">
      <c r="D319" s="2" t="str">
        <f>IFERROR(LEFT(Tabela1[[#This Row],[N°S]],LEN(Tabela1[[#This Row],[N°S]])-1),"")</f>
        <v/>
      </c>
      <c r="E319" s="1" t="str" cm="1">
        <f t="array" ref="E319">IFERROR(time_diff_cor(Tabela1[[#This Row],[Largada]],Tabela1[[#This Row],[Chegada]]),"00:20:00:000")</f>
        <v>00:20:00:000</v>
      </c>
      <c r="F319" s="1" t="str" cm="1">
        <f t="array" ref="F319">IFERROR(time_diff(Tabela1[[#This Row],[TEMPO]],E318),"00:00:00:000")</f>
        <v>00:00:00:00</v>
      </c>
      <c r="G319" s="1" t="str" cm="1">
        <f t="array" aca="1" ref="G319" ca="1">IF(Tabela1[[#This Row],[N°]]=D318,time_sum(Tabela1[[#This Row],[TEMPO]],E318),Tabela1[[#This Row],[TEMPO]])</f>
        <v>00:40:00:000</v>
      </c>
      <c r="H319" s="1" t="e">
        <f>VLOOKUP(C319,LARGADA!A:B,2,FALSE)</f>
        <v>#N/A</v>
      </c>
      <c r="I319" s="1" t="e">
        <f>VLOOKUP(C319,CHEGADA!A:B,2,FALSE)</f>
        <v>#N/A</v>
      </c>
    </row>
    <row r="320" spans="4:9">
      <c r="D320" s="2" t="str">
        <f>IFERROR(LEFT(Tabela1[[#This Row],[N°S]],LEN(Tabela1[[#This Row],[N°S]])-1),"")</f>
        <v/>
      </c>
      <c r="E320" s="1" t="str" cm="1">
        <f t="array" ref="E320">IFERROR(time_diff_cor(Tabela1[[#This Row],[Largada]],Tabela1[[#This Row],[Chegada]]),"00:20:00:000")</f>
        <v>00:20:00:000</v>
      </c>
      <c r="F320" s="1" t="str" cm="1">
        <f t="array" ref="F320">IFERROR(time_diff(Tabela1[[#This Row],[TEMPO]],E319),"00:00:00:000")</f>
        <v>00:00:00:00</v>
      </c>
      <c r="G320" s="1" t="str" cm="1">
        <f t="array" aca="1" ref="G320" ca="1">IF(Tabela1[[#This Row],[N°]]=D319,time_sum(Tabela1[[#This Row],[TEMPO]],E319),Tabela1[[#This Row],[TEMPO]])</f>
        <v>00:40:00:000</v>
      </c>
      <c r="H320" s="1" t="e">
        <f>VLOOKUP(C320,LARGADA!A:B,2,FALSE)</f>
        <v>#N/A</v>
      </c>
      <c r="I320" s="1" t="e">
        <f>VLOOKUP(C320,CHEGADA!A:B,2,FALSE)</f>
        <v>#N/A</v>
      </c>
    </row>
    <row r="321" spans="4:9">
      <c r="D321" s="2" t="str">
        <f>IFERROR(LEFT(Tabela1[[#This Row],[N°S]],LEN(Tabela1[[#This Row],[N°S]])-1),"")</f>
        <v/>
      </c>
      <c r="E321" s="1" t="str" cm="1">
        <f t="array" ref="E321">IFERROR(time_diff_cor(Tabela1[[#This Row],[Largada]],Tabela1[[#This Row],[Chegada]]),"00:20:00:000")</f>
        <v>00:20:00:000</v>
      </c>
      <c r="F321" s="1" t="str" cm="1">
        <f t="array" ref="F321">IFERROR(time_diff(Tabela1[[#This Row],[TEMPO]],E320),"00:00:00:000")</f>
        <v>00:00:00:00</v>
      </c>
      <c r="G321" s="1" t="str" cm="1">
        <f t="array" aca="1" ref="G321" ca="1">IF(Tabela1[[#This Row],[N°]]=D320,time_sum(Tabela1[[#This Row],[TEMPO]],E320),Tabela1[[#This Row],[TEMPO]])</f>
        <v>00:40:00:000</v>
      </c>
      <c r="H321" s="1" t="e">
        <f>VLOOKUP(C321,LARGADA!A:B,2,FALSE)</f>
        <v>#N/A</v>
      </c>
      <c r="I321" s="1" t="e">
        <f>VLOOKUP(C321,CHEGADA!A:B,2,FALSE)</f>
        <v>#N/A</v>
      </c>
    </row>
    <row r="322" spans="4:9">
      <c r="D322" s="2" t="str">
        <f>IFERROR(LEFT(Tabela1[[#This Row],[N°S]],LEN(Tabela1[[#This Row],[N°S]])-1),"")</f>
        <v/>
      </c>
      <c r="E322" s="1" t="str" cm="1">
        <f t="array" ref="E322">IFERROR(time_diff_cor(Tabela1[[#This Row],[Largada]],Tabela1[[#This Row],[Chegada]]),"00:20:00:000")</f>
        <v>00:20:00:000</v>
      </c>
      <c r="F322" s="1" t="str" cm="1">
        <f t="array" ref="F322">IFERROR(time_diff(Tabela1[[#This Row],[TEMPO]],E321),"00:00:00:000")</f>
        <v>00:00:00:00</v>
      </c>
      <c r="G322" s="1" t="str" cm="1">
        <f t="array" aca="1" ref="G322" ca="1">IF(Tabela1[[#This Row],[N°]]=D321,time_sum(Tabela1[[#This Row],[TEMPO]],E321),Tabela1[[#This Row],[TEMPO]])</f>
        <v>00:40:00:000</v>
      </c>
      <c r="H322" s="1" t="e">
        <f>VLOOKUP(C322,LARGADA!A:B,2,FALSE)</f>
        <v>#N/A</v>
      </c>
      <c r="I322" s="1" t="e">
        <f>VLOOKUP(C322,CHEGADA!A:B,2,FALSE)</f>
        <v>#N/A</v>
      </c>
    </row>
    <row r="323" spans="4:9">
      <c r="D323" s="2" t="str">
        <f>IFERROR(LEFT(Tabela1[[#This Row],[N°S]],LEN(Tabela1[[#This Row],[N°S]])-1),"")</f>
        <v/>
      </c>
      <c r="E323" s="1" t="str" cm="1">
        <f t="array" ref="E323">IFERROR(time_diff_cor(Tabela1[[#This Row],[Largada]],Tabela1[[#This Row],[Chegada]]),"00:20:00:000")</f>
        <v>00:20:00:000</v>
      </c>
      <c r="F323" s="1" t="str" cm="1">
        <f t="array" ref="F323">IFERROR(time_diff(Tabela1[[#This Row],[TEMPO]],E322),"00:00:00:000")</f>
        <v>00:00:00:00</v>
      </c>
      <c r="G323" s="1" t="str" cm="1">
        <f t="array" aca="1" ref="G323" ca="1">IF(Tabela1[[#This Row],[N°]]=D322,time_sum(Tabela1[[#This Row],[TEMPO]],E322),Tabela1[[#This Row],[TEMPO]])</f>
        <v>00:40:00:000</v>
      </c>
      <c r="H323" s="1" t="e">
        <f>VLOOKUP(C323,LARGADA!A:B,2,FALSE)</f>
        <v>#N/A</v>
      </c>
      <c r="I323" s="1" t="e">
        <f>VLOOKUP(C323,CHEGADA!A:B,2,FALSE)</f>
        <v>#N/A</v>
      </c>
    </row>
    <row r="324" spans="4:9">
      <c r="D324" s="2" t="str">
        <f>IFERROR(LEFT(Tabela1[[#This Row],[N°S]],LEN(Tabela1[[#This Row],[N°S]])-1),"")</f>
        <v/>
      </c>
      <c r="E324" s="1" t="str" cm="1">
        <f t="array" ref="E324">IFERROR(time_diff_cor(Tabela1[[#This Row],[Largada]],Tabela1[[#This Row],[Chegada]]),"00:20:00:000")</f>
        <v>00:20:00:000</v>
      </c>
      <c r="F324" s="1" t="str" cm="1">
        <f t="array" ref="F324">IFERROR(time_diff(Tabela1[[#This Row],[TEMPO]],E323),"00:00:00:000")</f>
        <v>00:00:00:00</v>
      </c>
      <c r="G324" s="1" t="str" cm="1">
        <f t="array" aca="1" ref="G324" ca="1">IF(Tabela1[[#This Row],[N°]]=D323,time_sum(Tabela1[[#This Row],[TEMPO]],E323),Tabela1[[#This Row],[TEMPO]])</f>
        <v>00:40:00:000</v>
      </c>
      <c r="H324" s="1" t="e">
        <f>VLOOKUP(C324,LARGADA!A:B,2,FALSE)</f>
        <v>#N/A</v>
      </c>
      <c r="I324" s="1" t="e">
        <f>VLOOKUP(C324,CHEGADA!A:B,2,FALSE)</f>
        <v>#N/A</v>
      </c>
    </row>
    <row r="325" spans="4:9">
      <c r="D325" s="2" t="str">
        <f>IFERROR(LEFT(Tabela1[[#This Row],[N°S]],LEN(Tabela1[[#This Row],[N°S]])-1),"")</f>
        <v/>
      </c>
      <c r="E325" s="1" t="str" cm="1">
        <f t="array" ref="E325">IFERROR(time_diff_cor(Tabela1[[#This Row],[Largada]],Tabela1[[#This Row],[Chegada]]),"00:20:00:000")</f>
        <v>00:20:00:000</v>
      </c>
      <c r="F325" s="1" t="str" cm="1">
        <f t="array" ref="F325">IFERROR(time_diff(Tabela1[[#This Row],[TEMPO]],E324),"00:00:00:000")</f>
        <v>00:00:00:00</v>
      </c>
      <c r="G325" s="1" t="str" cm="1">
        <f t="array" aca="1" ref="G325" ca="1">IF(Tabela1[[#This Row],[N°]]=D324,time_sum(Tabela1[[#This Row],[TEMPO]],E324),Tabela1[[#This Row],[TEMPO]])</f>
        <v>00:40:00:000</v>
      </c>
      <c r="H325" s="1" t="e">
        <f>VLOOKUP(C325,LARGADA!A:B,2,FALSE)</f>
        <v>#N/A</v>
      </c>
      <c r="I325" s="1" t="e">
        <f>VLOOKUP(C325,CHEGADA!A:B,2,FALSE)</f>
        <v>#N/A</v>
      </c>
    </row>
    <row r="326" spans="4:9">
      <c r="D326" s="2" t="str">
        <f>IFERROR(LEFT(Tabela1[[#This Row],[N°S]],LEN(Tabela1[[#This Row],[N°S]])-1),"")</f>
        <v/>
      </c>
      <c r="E326" s="1" t="str" cm="1">
        <f t="array" ref="E326">IFERROR(time_diff_cor(Tabela1[[#This Row],[Largada]],Tabela1[[#This Row],[Chegada]]),"00:20:00:000")</f>
        <v>00:20:00:000</v>
      </c>
      <c r="F326" s="1" t="str" cm="1">
        <f t="array" ref="F326">IFERROR(time_diff(Tabela1[[#This Row],[TEMPO]],E325),"00:00:00:000")</f>
        <v>00:00:00:00</v>
      </c>
      <c r="G326" s="1" t="str" cm="1">
        <f t="array" aca="1" ref="G326" ca="1">IF(Tabela1[[#This Row],[N°]]=D325,time_sum(Tabela1[[#This Row],[TEMPO]],E325),Tabela1[[#This Row],[TEMPO]])</f>
        <v>00:40:00:000</v>
      </c>
      <c r="H326" s="1" t="e">
        <f>VLOOKUP(C326,LARGADA!A:B,2,FALSE)</f>
        <v>#N/A</v>
      </c>
      <c r="I326" s="1" t="e">
        <f>VLOOKUP(C326,CHEGADA!A:B,2,FALSE)</f>
        <v>#N/A</v>
      </c>
    </row>
    <row r="327" spans="4:9">
      <c r="D327" s="2" t="str">
        <f>IFERROR(LEFT(Tabela1[[#This Row],[N°S]],LEN(Tabela1[[#This Row],[N°S]])-1),"")</f>
        <v/>
      </c>
      <c r="E327" s="1" t="str" cm="1">
        <f t="array" ref="E327">IFERROR(time_diff_cor(Tabela1[[#This Row],[Largada]],Tabela1[[#This Row],[Chegada]]),"00:20:00:000")</f>
        <v>00:20:00:000</v>
      </c>
      <c r="F327" s="1" t="str" cm="1">
        <f t="array" ref="F327">IFERROR(time_diff(Tabela1[[#This Row],[TEMPO]],E326),"00:00:00:000")</f>
        <v>00:00:00:00</v>
      </c>
      <c r="G327" s="1" t="str" cm="1">
        <f t="array" aca="1" ref="G327" ca="1">IF(Tabela1[[#This Row],[N°]]=D326,time_sum(Tabela1[[#This Row],[TEMPO]],E326),Tabela1[[#This Row],[TEMPO]])</f>
        <v>00:40:00:000</v>
      </c>
      <c r="H327" s="1" t="e">
        <f>VLOOKUP(C327,LARGADA!A:B,2,FALSE)</f>
        <v>#N/A</v>
      </c>
      <c r="I327" s="1" t="e">
        <f>VLOOKUP(C327,CHEGADA!A:B,2,FALSE)</f>
        <v>#N/A</v>
      </c>
    </row>
    <row r="328" spans="4:9">
      <c r="D328" s="2" t="str">
        <f>IFERROR(LEFT(Tabela1[[#This Row],[N°S]],LEN(Tabela1[[#This Row],[N°S]])-1),"")</f>
        <v/>
      </c>
      <c r="E328" s="1" t="str" cm="1">
        <f t="array" ref="E328">IFERROR(time_diff_cor(Tabela1[[#This Row],[Largada]],Tabela1[[#This Row],[Chegada]]),"00:20:00:000")</f>
        <v>00:20:00:000</v>
      </c>
      <c r="F328" s="1" t="str" cm="1">
        <f t="array" ref="F328">IFERROR(time_diff(Tabela1[[#This Row],[TEMPO]],E327),"00:00:00:000")</f>
        <v>00:00:00:00</v>
      </c>
      <c r="G328" s="1" t="str" cm="1">
        <f t="array" aca="1" ref="G328" ca="1">IF(Tabela1[[#This Row],[N°]]=D327,time_sum(Tabela1[[#This Row],[TEMPO]],E327),Tabela1[[#This Row],[TEMPO]])</f>
        <v>00:40:00:000</v>
      </c>
      <c r="H328" s="1" t="e">
        <f>VLOOKUP(C328,LARGADA!A:B,2,FALSE)</f>
        <v>#N/A</v>
      </c>
      <c r="I328" s="1" t="e">
        <f>VLOOKUP(C328,CHEGADA!A:B,2,FALSE)</f>
        <v>#N/A</v>
      </c>
    </row>
    <row r="329" spans="4:9">
      <c r="D329" s="2" t="str">
        <f>IFERROR(LEFT(Tabela1[[#This Row],[N°S]],LEN(Tabela1[[#This Row],[N°S]])-1),"")</f>
        <v/>
      </c>
      <c r="E329" s="1" t="str" cm="1">
        <f t="array" ref="E329">IFERROR(time_diff_cor(Tabela1[[#This Row],[Largada]],Tabela1[[#This Row],[Chegada]]),"00:20:00:000")</f>
        <v>00:20:00:000</v>
      </c>
      <c r="F329" s="1" t="str" cm="1">
        <f t="array" ref="F329">IFERROR(time_diff(Tabela1[[#This Row],[TEMPO]],E328),"00:00:00:000")</f>
        <v>00:00:00:00</v>
      </c>
      <c r="G329" s="1" t="str" cm="1">
        <f t="array" aca="1" ref="G329" ca="1">IF(Tabela1[[#This Row],[N°]]=D328,time_sum(Tabela1[[#This Row],[TEMPO]],E328),Tabela1[[#This Row],[TEMPO]])</f>
        <v>00:40:00:000</v>
      </c>
      <c r="H329" s="1" t="e">
        <f>VLOOKUP(C329,LARGADA!A:B,2,FALSE)</f>
        <v>#N/A</v>
      </c>
      <c r="I329" s="1" t="e">
        <f>VLOOKUP(C329,CHEGADA!A:B,2,FALSE)</f>
        <v>#N/A</v>
      </c>
    </row>
    <row r="330" spans="4:9">
      <c r="D330" s="2" t="str">
        <f>IFERROR(LEFT(Tabela1[[#This Row],[N°S]],LEN(Tabela1[[#This Row],[N°S]])-1),"")</f>
        <v/>
      </c>
      <c r="E330" s="1" t="str" cm="1">
        <f t="array" ref="E330">IFERROR(time_diff_cor(Tabela1[[#This Row],[Largada]],Tabela1[[#This Row],[Chegada]]),"00:20:00:000")</f>
        <v>00:20:00:000</v>
      </c>
      <c r="F330" s="1" t="str" cm="1">
        <f t="array" ref="F330">IFERROR(time_diff(Tabela1[[#This Row],[TEMPO]],E329),"00:00:00:000")</f>
        <v>00:00:00:00</v>
      </c>
      <c r="G330" s="1" t="str" cm="1">
        <f t="array" aca="1" ref="G330" ca="1">IF(Tabela1[[#This Row],[N°]]=D329,time_sum(Tabela1[[#This Row],[TEMPO]],E329),Tabela1[[#This Row],[TEMPO]])</f>
        <v>00:40:00:000</v>
      </c>
      <c r="H330" s="1" t="e">
        <f>VLOOKUP(C330,LARGADA!A:B,2,FALSE)</f>
        <v>#N/A</v>
      </c>
      <c r="I330" s="1" t="e">
        <f>VLOOKUP(C330,CHEGADA!A:B,2,FALSE)</f>
        <v>#N/A</v>
      </c>
    </row>
    <row r="331" spans="4:9">
      <c r="D331" s="2" t="str">
        <f>IFERROR(LEFT(Tabela1[[#This Row],[N°S]],LEN(Tabela1[[#This Row],[N°S]])-1),"")</f>
        <v/>
      </c>
      <c r="E331" s="1" t="str" cm="1">
        <f t="array" ref="E331">IFERROR(time_diff_cor(Tabela1[[#This Row],[Largada]],Tabela1[[#This Row],[Chegada]]),"00:20:00:000")</f>
        <v>00:20:00:000</v>
      </c>
      <c r="F331" s="1" t="str" cm="1">
        <f t="array" ref="F331">IFERROR(time_diff(Tabela1[[#This Row],[TEMPO]],E330),"00:00:00:000")</f>
        <v>00:00:00:00</v>
      </c>
      <c r="G331" s="1" t="str" cm="1">
        <f t="array" aca="1" ref="G331" ca="1">IF(Tabela1[[#This Row],[N°]]=D330,time_sum(Tabela1[[#This Row],[TEMPO]],E330),Tabela1[[#This Row],[TEMPO]])</f>
        <v>00:40:00:000</v>
      </c>
      <c r="H331" s="1" t="e">
        <f>VLOOKUP(C331,LARGADA!A:B,2,FALSE)</f>
        <v>#N/A</v>
      </c>
      <c r="I331" s="1" t="e">
        <f>VLOOKUP(C331,CHEGADA!A:B,2,FALSE)</f>
        <v>#N/A</v>
      </c>
    </row>
    <row r="332" spans="4:9">
      <c r="D332" s="2" t="str">
        <f>IFERROR(LEFT(Tabela1[[#This Row],[N°S]],LEN(Tabela1[[#This Row],[N°S]])-1),"")</f>
        <v/>
      </c>
      <c r="E332" s="1" t="str" cm="1">
        <f t="array" ref="E332">IFERROR(time_diff_cor(Tabela1[[#This Row],[Largada]],Tabela1[[#This Row],[Chegada]]),"00:20:00:000")</f>
        <v>00:20:00:000</v>
      </c>
      <c r="F332" s="1" t="str" cm="1">
        <f t="array" ref="F332">IFERROR(time_diff(Tabela1[[#This Row],[TEMPO]],E331),"00:00:00:000")</f>
        <v>00:00:00:00</v>
      </c>
      <c r="G332" s="1" t="str" cm="1">
        <f t="array" aca="1" ref="G332" ca="1">IF(Tabela1[[#This Row],[N°]]=D331,time_sum(Tabela1[[#This Row],[TEMPO]],E331),Tabela1[[#This Row],[TEMPO]])</f>
        <v>00:40:00:000</v>
      </c>
      <c r="H332" s="1" t="e">
        <f>VLOOKUP(C332,LARGADA!A:B,2,FALSE)</f>
        <v>#N/A</v>
      </c>
      <c r="I332" s="1" t="e">
        <f>VLOOKUP(C332,CHEGADA!A:B,2,FALSE)</f>
        <v>#N/A</v>
      </c>
    </row>
    <row r="333" spans="4:9">
      <c r="D333" s="2" t="str">
        <f>IFERROR(LEFT(Tabela1[[#This Row],[N°S]],LEN(Tabela1[[#This Row],[N°S]])-1),"")</f>
        <v/>
      </c>
      <c r="E333" s="1" t="str" cm="1">
        <f t="array" ref="E333">IFERROR(time_diff_cor(Tabela1[[#This Row],[Largada]],Tabela1[[#This Row],[Chegada]]),"00:20:00:000")</f>
        <v>00:20:00:000</v>
      </c>
      <c r="F333" s="1" t="str" cm="1">
        <f t="array" ref="F333">IFERROR(time_diff(Tabela1[[#This Row],[TEMPO]],E332),"00:00:00:000")</f>
        <v>00:00:00:00</v>
      </c>
      <c r="G333" s="1" t="str" cm="1">
        <f t="array" aca="1" ref="G333" ca="1">IF(Tabela1[[#This Row],[N°]]=D332,time_sum(Tabela1[[#This Row],[TEMPO]],E332),Tabela1[[#This Row],[TEMPO]])</f>
        <v>00:40:00:000</v>
      </c>
      <c r="H333" s="1" t="e">
        <f>VLOOKUP(C333,LARGADA!A:B,2,FALSE)</f>
        <v>#N/A</v>
      </c>
      <c r="I333" s="1" t="e">
        <f>VLOOKUP(C333,CHEGADA!A:B,2,FALSE)</f>
        <v>#N/A</v>
      </c>
    </row>
    <row r="334" spans="4:9">
      <c r="D334" s="2" t="str">
        <f>IFERROR(LEFT(Tabela1[[#This Row],[N°S]],LEN(Tabela1[[#This Row],[N°S]])-1),"")</f>
        <v/>
      </c>
      <c r="E334" s="1" t="str" cm="1">
        <f t="array" ref="E334">IFERROR(time_diff_cor(Tabela1[[#This Row],[Largada]],Tabela1[[#This Row],[Chegada]]),"00:20:00:000")</f>
        <v>00:20:00:000</v>
      </c>
      <c r="F334" s="1" t="str" cm="1">
        <f t="array" ref="F334">IFERROR(time_diff(Tabela1[[#This Row],[TEMPO]],E333),"00:00:00:000")</f>
        <v>00:00:00:00</v>
      </c>
      <c r="G334" s="1" t="str" cm="1">
        <f t="array" aca="1" ref="G334" ca="1">IF(Tabela1[[#This Row],[N°]]=D333,time_sum(Tabela1[[#This Row],[TEMPO]],E333),Tabela1[[#This Row],[TEMPO]])</f>
        <v>00:40:00:000</v>
      </c>
      <c r="H334" s="1" t="e">
        <f>VLOOKUP(C334,LARGADA!A:B,2,FALSE)</f>
        <v>#N/A</v>
      </c>
      <c r="I334" s="1" t="e">
        <f>VLOOKUP(C334,CHEGADA!A:B,2,FALSE)</f>
        <v>#N/A</v>
      </c>
    </row>
    <row r="335" spans="4:9">
      <c r="D335" s="2" t="str">
        <f>IFERROR(LEFT(Tabela1[[#This Row],[N°S]],LEN(Tabela1[[#This Row],[N°S]])-1),"")</f>
        <v/>
      </c>
      <c r="E335" s="1" t="str" cm="1">
        <f t="array" ref="E335">IFERROR(time_diff_cor(Tabela1[[#This Row],[Largada]],Tabela1[[#This Row],[Chegada]]),"00:20:00:000")</f>
        <v>00:20:00:000</v>
      </c>
      <c r="F335" s="1" t="str" cm="1">
        <f t="array" ref="F335">IFERROR(time_diff(Tabela1[[#This Row],[TEMPO]],E334),"00:00:00:000")</f>
        <v>00:00:00:00</v>
      </c>
      <c r="G335" s="1" t="str" cm="1">
        <f t="array" aca="1" ref="G335" ca="1">IF(Tabela1[[#This Row],[N°]]=D334,time_sum(Tabela1[[#This Row],[TEMPO]],E334),Tabela1[[#This Row],[TEMPO]])</f>
        <v>00:40:00:000</v>
      </c>
      <c r="H335" s="1" t="e">
        <f>VLOOKUP(C335,LARGADA!A:B,2,FALSE)</f>
        <v>#N/A</v>
      </c>
      <c r="I335" s="1" t="e">
        <f>VLOOKUP(C335,CHEGADA!A:B,2,FALSE)</f>
        <v>#N/A</v>
      </c>
    </row>
    <row r="336" spans="4:9">
      <c r="D336" s="2" t="str">
        <f>IFERROR(LEFT(Tabela1[[#This Row],[N°S]],LEN(Tabela1[[#This Row],[N°S]])-1),"")</f>
        <v/>
      </c>
      <c r="E336" s="1" t="str" cm="1">
        <f t="array" ref="E336">IFERROR(time_diff_cor(Tabela1[[#This Row],[Largada]],Tabela1[[#This Row],[Chegada]]),"00:20:00:000")</f>
        <v>00:20:00:000</v>
      </c>
      <c r="F336" s="1" t="str" cm="1">
        <f t="array" ref="F336">IFERROR(time_diff(Tabela1[[#This Row],[TEMPO]],E335),"00:00:00:000")</f>
        <v>00:00:00:00</v>
      </c>
      <c r="G336" s="1" t="str" cm="1">
        <f t="array" aca="1" ref="G336" ca="1">IF(Tabela1[[#This Row],[N°]]=D335,time_sum(Tabela1[[#This Row],[TEMPO]],E335),Tabela1[[#This Row],[TEMPO]])</f>
        <v>00:40:00:000</v>
      </c>
      <c r="H336" s="1" t="e">
        <f>VLOOKUP(C336,LARGADA!A:B,2,FALSE)</f>
        <v>#N/A</v>
      </c>
      <c r="I336" s="1" t="e">
        <f>VLOOKUP(C336,CHEGADA!A:B,2,FALSE)</f>
        <v>#N/A</v>
      </c>
    </row>
    <row r="337" spans="4:9">
      <c r="D337" s="2" t="str">
        <f>IFERROR(LEFT(Tabela1[[#This Row],[N°S]],LEN(Tabela1[[#This Row],[N°S]])-1),"")</f>
        <v/>
      </c>
      <c r="E337" s="1" t="str" cm="1">
        <f t="array" ref="E337">IFERROR(time_diff_cor(Tabela1[[#This Row],[Largada]],Tabela1[[#This Row],[Chegada]]),"00:20:00:000")</f>
        <v>00:20:00:000</v>
      </c>
      <c r="F337" s="1" t="str" cm="1">
        <f t="array" ref="F337">IFERROR(time_diff(Tabela1[[#This Row],[TEMPO]],E336),"00:00:00:000")</f>
        <v>00:00:00:00</v>
      </c>
      <c r="G337" s="1" t="str" cm="1">
        <f t="array" aca="1" ref="G337" ca="1">IF(Tabela1[[#This Row],[N°]]=D336,time_sum(Tabela1[[#This Row],[TEMPO]],E336),Tabela1[[#This Row],[TEMPO]])</f>
        <v>00:40:00:000</v>
      </c>
      <c r="H337" s="1" t="e">
        <f>VLOOKUP(C337,LARGADA!A:B,2,FALSE)</f>
        <v>#N/A</v>
      </c>
      <c r="I337" s="1" t="e">
        <f>VLOOKUP(C337,CHEGADA!A:B,2,FALSE)</f>
        <v>#N/A</v>
      </c>
    </row>
    <row r="338" spans="4:9">
      <c r="D338" s="2" t="str">
        <f>IFERROR(LEFT(Tabela1[[#This Row],[N°S]],LEN(Tabela1[[#This Row],[N°S]])-1),"")</f>
        <v/>
      </c>
      <c r="E338" s="1" t="str" cm="1">
        <f t="array" ref="E338">IFERROR(time_diff_cor(Tabela1[[#This Row],[Largada]],Tabela1[[#This Row],[Chegada]]),"00:20:00:000")</f>
        <v>00:20:00:000</v>
      </c>
      <c r="F338" s="1" t="str" cm="1">
        <f t="array" ref="F338">IFERROR(time_diff(Tabela1[[#This Row],[TEMPO]],E337),"00:00:00:000")</f>
        <v>00:00:00:00</v>
      </c>
      <c r="G338" s="1" t="str" cm="1">
        <f t="array" aca="1" ref="G338" ca="1">IF(Tabela1[[#This Row],[N°]]=D337,time_sum(Tabela1[[#This Row],[TEMPO]],E337),Tabela1[[#This Row],[TEMPO]])</f>
        <v>00:40:00:000</v>
      </c>
      <c r="H338" s="1" t="e">
        <f>VLOOKUP(C338,LARGADA!A:B,2,FALSE)</f>
        <v>#N/A</v>
      </c>
      <c r="I338" s="1" t="e">
        <f>VLOOKUP(C338,CHEGADA!A:B,2,FALSE)</f>
        <v>#N/A</v>
      </c>
    </row>
    <row r="339" spans="4:9">
      <c r="D339" s="2" t="str">
        <f>IFERROR(LEFT(Tabela1[[#This Row],[N°S]],LEN(Tabela1[[#This Row],[N°S]])-1),"")</f>
        <v/>
      </c>
      <c r="E339" s="1" t="str" cm="1">
        <f t="array" ref="E339">IFERROR(time_diff_cor(Tabela1[[#This Row],[Largada]],Tabela1[[#This Row],[Chegada]]),"00:20:00:000")</f>
        <v>00:20:00:000</v>
      </c>
      <c r="F339" s="1" t="str" cm="1">
        <f t="array" ref="F339">IFERROR(time_diff(Tabela1[[#This Row],[TEMPO]],E338),"00:00:00:000")</f>
        <v>00:00:00:00</v>
      </c>
      <c r="G339" s="1" t="str" cm="1">
        <f t="array" aca="1" ref="G339" ca="1">IF(Tabela1[[#This Row],[N°]]=D338,time_sum(Tabela1[[#This Row],[TEMPO]],E338),Tabela1[[#This Row],[TEMPO]])</f>
        <v>00:40:00:000</v>
      </c>
      <c r="H339" s="1" t="e">
        <f>VLOOKUP(C339,LARGADA!A:B,2,FALSE)</f>
        <v>#N/A</v>
      </c>
      <c r="I339" s="1" t="e">
        <f>VLOOKUP(C339,CHEGADA!A:B,2,FALSE)</f>
        <v>#N/A</v>
      </c>
    </row>
    <row r="340" spans="4:9">
      <c r="D340" s="2" t="str">
        <f>IFERROR(LEFT(Tabela1[[#This Row],[N°S]],LEN(Tabela1[[#This Row],[N°S]])-1),"")</f>
        <v/>
      </c>
      <c r="E340" s="1" t="str" cm="1">
        <f t="array" ref="E340">IFERROR(time_diff_cor(Tabela1[[#This Row],[Largada]],Tabela1[[#This Row],[Chegada]]),"00:20:00:000")</f>
        <v>00:20:00:000</v>
      </c>
      <c r="F340" s="1" t="str" cm="1">
        <f t="array" ref="F340">IFERROR(time_diff(Tabela1[[#This Row],[TEMPO]],E339),"00:00:00:000")</f>
        <v>00:00:00:00</v>
      </c>
      <c r="G340" s="1" t="str" cm="1">
        <f t="array" aca="1" ref="G340" ca="1">IF(Tabela1[[#This Row],[N°]]=D339,time_sum(Tabela1[[#This Row],[TEMPO]],E339),Tabela1[[#This Row],[TEMPO]])</f>
        <v>00:40:00:000</v>
      </c>
      <c r="H340" s="1" t="e">
        <f>VLOOKUP(C340,LARGADA!A:B,2,FALSE)</f>
        <v>#N/A</v>
      </c>
      <c r="I340" s="1" t="e">
        <f>VLOOKUP(C340,CHEGADA!A:B,2,FALSE)</f>
        <v>#N/A</v>
      </c>
    </row>
    <row r="341" spans="4:9">
      <c r="D341" s="2" t="str">
        <f>IFERROR(LEFT(Tabela1[[#This Row],[N°S]],LEN(Tabela1[[#This Row],[N°S]])-1),"")</f>
        <v/>
      </c>
      <c r="E341" s="1" t="str" cm="1">
        <f t="array" ref="E341">IFERROR(time_diff_cor(Tabela1[[#This Row],[Largada]],Tabela1[[#This Row],[Chegada]]),"00:20:00:000")</f>
        <v>00:20:00:000</v>
      </c>
      <c r="F341" s="1" t="str" cm="1">
        <f t="array" ref="F341">IFERROR(time_diff(Tabela1[[#This Row],[TEMPO]],E340),"00:00:00:000")</f>
        <v>00:00:00:00</v>
      </c>
      <c r="G341" s="1" t="str" cm="1">
        <f t="array" aca="1" ref="G341" ca="1">IF(Tabela1[[#This Row],[N°]]=D340,time_sum(Tabela1[[#This Row],[TEMPO]],E340),Tabela1[[#This Row],[TEMPO]])</f>
        <v>00:40:00:000</v>
      </c>
      <c r="H341" s="1" t="e">
        <f>VLOOKUP(C341,LARGADA!A:B,2,FALSE)</f>
        <v>#N/A</v>
      </c>
      <c r="I341" s="1" t="e">
        <f>VLOOKUP(C341,CHEGADA!A:B,2,FALSE)</f>
        <v>#N/A</v>
      </c>
    </row>
    <row r="342" spans="4:9">
      <c r="D342" s="2" t="str">
        <f>IFERROR(LEFT(Tabela1[[#This Row],[N°S]],LEN(Tabela1[[#This Row],[N°S]])-1),"")</f>
        <v/>
      </c>
      <c r="E342" s="1" t="str" cm="1">
        <f t="array" ref="E342">IFERROR(time_diff_cor(Tabela1[[#This Row],[Largada]],Tabela1[[#This Row],[Chegada]]),"00:20:00:000")</f>
        <v>00:20:00:000</v>
      </c>
      <c r="F342" s="1" t="str" cm="1">
        <f t="array" ref="F342">IFERROR(time_diff(Tabela1[[#This Row],[TEMPO]],E341),"00:00:00:000")</f>
        <v>00:00:00:00</v>
      </c>
      <c r="G342" s="1" t="str" cm="1">
        <f t="array" aca="1" ref="G342" ca="1">IF(Tabela1[[#This Row],[N°]]=D341,time_sum(Tabela1[[#This Row],[TEMPO]],E341),Tabela1[[#This Row],[TEMPO]])</f>
        <v>00:40:00:000</v>
      </c>
      <c r="H342" s="1" t="e">
        <f>VLOOKUP(C342,LARGADA!A:B,2,FALSE)</f>
        <v>#N/A</v>
      </c>
      <c r="I342" s="1" t="e">
        <f>VLOOKUP(C342,CHEGADA!A:B,2,FALSE)</f>
        <v>#N/A</v>
      </c>
    </row>
    <row r="343" spans="4:9">
      <c r="D343" s="2" t="str">
        <f>IFERROR(LEFT(Tabela1[[#This Row],[N°S]],LEN(Tabela1[[#This Row],[N°S]])-1),"")</f>
        <v/>
      </c>
      <c r="E343" s="1" t="str" cm="1">
        <f t="array" ref="E343">IFERROR(time_diff_cor(Tabela1[[#This Row],[Largada]],Tabela1[[#This Row],[Chegada]]),"00:20:00:000")</f>
        <v>00:20:00:000</v>
      </c>
      <c r="F343" s="1" t="str" cm="1">
        <f t="array" ref="F343">IFERROR(time_diff(Tabela1[[#This Row],[TEMPO]],E342),"00:00:00:000")</f>
        <v>00:00:00:00</v>
      </c>
      <c r="G343" s="1" t="str" cm="1">
        <f t="array" aca="1" ref="G343" ca="1">IF(Tabela1[[#This Row],[N°]]=D342,time_sum(Tabela1[[#This Row],[TEMPO]],E342),Tabela1[[#This Row],[TEMPO]])</f>
        <v>00:40:00:000</v>
      </c>
      <c r="H343" s="1" t="e">
        <f>VLOOKUP(C343,LARGADA!A:B,2,FALSE)</f>
        <v>#N/A</v>
      </c>
      <c r="I343" s="1" t="e">
        <f>VLOOKUP(C343,CHEGADA!A:B,2,FALSE)</f>
        <v>#N/A</v>
      </c>
    </row>
    <row r="344" spans="4:9">
      <c r="D344" s="2" t="str">
        <f>IFERROR(LEFT(Tabela1[[#This Row],[N°S]],LEN(Tabela1[[#This Row],[N°S]])-1),"")</f>
        <v/>
      </c>
      <c r="E344" s="1" t="str" cm="1">
        <f t="array" ref="E344">IFERROR(time_diff_cor(Tabela1[[#This Row],[Largada]],Tabela1[[#This Row],[Chegada]]),"00:20:00:000")</f>
        <v>00:20:00:000</v>
      </c>
      <c r="F344" s="1" t="str" cm="1">
        <f t="array" ref="F344">IFERROR(time_diff(Tabela1[[#This Row],[TEMPO]],E343),"00:00:00:000")</f>
        <v>00:00:00:00</v>
      </c>
      <c r="G344" s="1" t="str" cm="1">
        <f t="array" aca="1" ref="G344" ca="1">IF(Tabela1[[#This Row],[N°]]=D343,time_sum(Tabela1[[#This Row],[TEMPO]],E343),Tabela1[[#This Row],[TEMPO]])</f>
        <v>00:40:00:000</v>
      </c>
      <c r="H344" s="1" t="e">
        <f>VLOOKUP(C344,LARGADA!A:B,2,FALSE)</f>
        <v>#N/A</v>
      </c>
      <c r="I344" s="1" t="e">
        <f>VLOOKUP(C344,CHEGADA!A:B,2,FALSE)</f>
        <v>#N/A</v>
      </c>
    </row>
    <row r="345" spans="4:9">
      <c r="D345" s="2" t="str">
        <f>IFERROR(LEFT(Tabela1[[#This Row],[N°S]],LEN(Tabela1[[#This Row],[N°S]])-1),"")</f>
        <v/>
      </c>
      <c r="E345" s="1" t="str" cm="1">
        <f t="array" ref="E345">IFERROR(time_diff_cor(Tabela1[[#This Row],[Largada]],Tabela1[[#This Row],[Chegada]]),"00:20:00:000")</f>
        <v>00:20:00:000</v>
      </c>
      <c r="F345" s="1" t="str" cm="1">
        <f t="array" ref="F345">IFERROR(time_diff(Tabela1[[#This Row],[TEMPO]],E344),"00:00:00:000")</f>
        <v>00:00:00:00</v>
      </c>
      <c r="G345" s="1" t="str" cm="1">
        <f t="array" aca="1" ref="G345" ca="1">IF(Tabela1[[#This Row],[N°]]=D344,time_sum(Tabela1[[#This Row],[TEMPO]],E344),Tabela1[[#This Row],[TEMPO]])</f>
        <v>00:40:00:000</v>
      </c>
      <c r="H345" s="1" t="e">
        <f>VLOOKUP(C345,LARGADA!A:B,2,FALSE)</f>
        <v>#N/A</v>
      </c>
      <c r="I345" s="1" t="e">
        <f>VLOOKUP(C345,CHEGADA!A:B,2,FALSE)</f>
        <v>#N/A</v>
      </c>
    </row>
    <row r="346" spans="4:9">
      <c r="D346" s="2" t="str">
        <f>IFERROR(LEFT(Tabela1[[#This Row],[N°S]],LEN(Tabela1[[#This Row],[N°S]])-1),"")</f>
        <v/>
      </c>
      <c r="E346" s="1" t="str" cm="1">
        <f t="array" ref="E346">IFERROR(time_diff_cor(Tabela1[[#This Row],[Largada]],Tabela1[[#This Row],[Chegada]]),"00:20:00:000")</f>
        <v>00:20:00:000</v>
      </c>
      <c r="F346" s="1" t="str" cm="1">
        <f t="array" ref="F346">IFERROR(time_diff(Tabela1[[#This Row],[TEMPO]],E345),"00:00:00:000")</f>
        <v>00:00:00:00</v>
      </c>
      <c r="G346" s="1" t="str" cm="1">
        <f t="array" aca="1" ref="G346" ca="1">IF(Tabela1[[#This Row],[N°]]=D345,time_sum(Tabela1[[#This Row],[TEMPO]],E345),Tabela1[[#This Row],[TEMPO]])</f>
        <v>00:40:00:000</v>
      </c>
      <c r="H346" s="1" t="e">
        <f>VLOOKUP(C346,LARGADA!A:B,2,FALSE)</f>
        <v>#N/A</v>
      </c>
      <c r="I346" s="1" t="e">
        <f>VLOOKUP(C346,CHEGADA!A:B,2,FALSE)</f>
        <v>#N/A</v>
      </c>
    </row>
    <row r="347" spans="4:9">
      <c r="D347" s="2" t="str">
        <f>IFERROR(LEFT(Tabela1[[#This Row],[N°S]],LEN(Tabela1[[#This Row],[N°S]])-1),"")</f>
        <v/>
      </c>
      <c r="E347" s="1" t="str" cm="1">
        <f t="array" ref="E347">IFERROR(time_diff_cor(Tabela1[[#This Row],[Largada]],Tabela1[[#This Row],[Chegada]]),"00:20:00:000")</f>
        <v>00:20:00:000</v>
      </c>
      <c r="F347" s="1" t="str" cm="1">
        <f t="array" ref="F347">IFERROR(time_diff(Tabela1[[#This Row],[TEMPO]],E346),"00:00:00:000")</f>
        <v>00:00:00:00</v>
      </c>
      <c r="G347" s="1" t="str" cm="1">
        <f t="array" aca="1" ref="G347" ca="1">IF(Tabela1[[#This Row],[N°]]=D346,time_sum(Tabela1[[#This Row],[TEMPO]],E346),Tabela1[[#This Row],[TEMPO]])</f>
        <v>00:40:00:000</v>
      </c>
      <c r="H347" s="1" t="e">
        <f>VLOOKUP(C347,LARGADA!A:B,2,FALSE)</f>
        <v>#N/A</v>
      </c>
      <c r="I347" s="1" t="e">
        <f>VLOOKUP(C347,CHEGADA!A:B,2,FALSE)</f>
        <v>#N/A</v>
      </c>
    </row>
    <row r="348" spans="4:9">
      <c r="D348" s="2" t="str">
        <f>IFERROR(LEFT(Tabela1[[#This Row],[N°S]],LEN(Tabela1[[#This Row],[N°S]])-1),"")</f>
        <v/>
      </c>
      <c r="E348" s="1" t="str" cm="1">
        <f t="array" ref="E348">IFERROR(time_diff_cor(Tabela1[[#This Row],[Largada]],Tabela1[[#This Row],[Chegada]]),"00:20:00:000")</f>
        <v>00:20:00:000</v>
      </c>
      <c r="F348" s="1" t="str" cm="1">
        <f t="array" ref="F348">IFERROR(time_diff(Tabela1[[#This Row],[TEMPO]],E347),"00:00:00:000")</f>
        <v>00:00:00:00</v>
      </c>
      <c r="G348" s="1" t="str" cm="1">
        <f t="array" aca="1" ref="G348" ca="1">IF(Tabela1[[#This Row],[N°]]=D347,time_sum(Tabela1[[#This Row],[TEMPO]],E347),Tabela1[[#This Row],[TEMPO]])</f>
        <v>00:40:00:000</v>
      </c>
      <c r="H348" s="1" t="e">
        <f>VLOOKUP(C348,LARGADA!A:B,2,FALSE)</f>
        <v>#N/A</v>
      </c>
      <c r="I348" s="1" t="e">
        <f>VLOOKUP(C348,CHEGADA!A:B,2,FALSE)</f>
        <v>#N/A</v>
      </c>
    </row>
    <row r="349" spans="4:9">
      <c r="D349" s="2" t="str">
        <f>IFERROR(LEFT(Tabela1[[#This Row],[N°S]],LEN(Tabela1[[#This Row],[N°S]])-1),"")</f>
        <v/>
      </c>
      <c r="E349" s="1" t="str" cm="1">
        <f t="array" ref="E349">IFERROR(time_diff_cor(Tabela1[[#This Row],[Largada]],Tabela1[[#This Row],[Chegada]]),"00:20:00:000")</f>
        <v>00:20:00:000</v>
      </c>
      <c r="F349" s="1" t="str" cm="1">
        <f t="array" ref="F349">IFERROR(time_diff(Tabela1[[#This Row],[TEMPO]],E348),"00:00:00:000")</f>
        <v>00:00:00:00</v>
      </c>
      <c r="G349" s="1" t="str" cm="1">
        <f t="array" aca="1" ref="G349" ca="1">IF(Tabela1[[#This Row],[N°]]=D348,time_sum(Tabela1[[#This Row],[TEMPO]],E348),Tabela1[[#This Row],[TEMPO]])</f>
        <v>00:40:00:000</v>
      </c>
      <c r="H349" s="1" t="e">
        <f>VLOOKUP(C349,LARGADA!A:B,2,FALSE)</f>
        <v>#N/A</v>
      </c>
      <c r="I349" s="1" t="e">
        <f>VLOOKUP(C349,CHEGADA!A:B,2,FALSE)</f>
        <v>#N/A</v>
      </c>
    </row>
    <row r="350" spans="4:9">
      <c r="D350" s="2" t="str">
        <f>IFERROR(LEFT(Tabela1[[#This Row],[N°S]],LEN(Tabela1[[#This Row],[N°S]])-1),"")</f>
        <v/>
      </c>
      <c r="E350" s="1" t="str" cm="1">
        <f t="array" ref="E350">IFERROR(time_diff_cor(Tabela1[[#This Row],[Largada]],Tabela1[[#This Row],[Chegada]]),"00:20:00:000")</f>
        <v>00:20:00:000</v>
      </c>
      <c r="F350" s="1" t="str" cm="1">
        <f t="array" ref="F350">IFERROR(time_diff(Tabela1[[#This Row],[TEMPO]],E349),"00:00:00:000")</f>
        <v>00:00:00:00</v>
      </c>
      <c r="G350" s="1" t="str" cm="1">
        <f t="array" aca="1" ref="G350" ca="1">IF(Tabela1[[#This Row],[N°]]=D349,time_sum(Tabela1[[#This Row],[TEMPO]],E349),Tabela1[[#This Row],[TEMPO]])</f>
        <v>00:40:00:000</v>
      </c>
      <c r="H350" s="1" t="e">
        <f>VLOOKUP(C350,LARGADA!A:B,2,FALSE)</f>
        <v>#N/A</v>
      </c>
      <c r="I350" s="1" t="e">
        <f>VLOOKUP(C350,CHEGADA!A:B,2,FALSE)</f>
        <v>#N/A</v>
      </c>
    </row>
    <row r="351" spans="4:9">
      <c r="D351" s="2" t="str">
        <f>IFERROR(LEFT(Tabela1[[#This Row],[N°S]],LEN(Tabela1[[#This Row],[N°S]])-1),"")</f>
        <v/>
      </c>
      <c r="E351" s="1" t="str" cm="1">
        <f t="array" ref="E351">IFERROR(time_diff_cor(Tabela1[[#This Row],[Largada]],Tabela1[[#This Row],[Chegada]]),"00:20:00:000")</f>
        <v>00:20:00:000</v>
      </c>
      <c r="F351" s="1" t="str" cm="1">
        <f t="array" ref="F351">IFERROR(time_diff(Tabela1[[#This Row],[TEMPO]],E350),"00:00:00:000")</f>
        <v>00:00:00:00</v>
      </c>
      <c r="G351" s="1" t="str" cm="1">
        <f t="array" aca="1" ref="G351" ca="1">IF(Tabela1[[#This Row],[N°]]=D350,time_sum(Tabela1[[#This Row],[TEMPO]],E350),Tabela1[[#This Row],[TEMPO]])</f>
        <v>00:40:00:000</v>
      </c>
      <c r="H351" s="1" t="e">
        <f>VLOOKUP(C351,LARGADA!A:B,2,FALSE)</f>
        <v>#N/A</v>
      </c>
      <c r="I351" s="1" t="e">
        <f>VLOOKUP(C351,CHEGADA!A:B,2,FALSE)</f>
        <v>#N/A</v>
      </c>
    </row>
    <row r="352" spans="4:9">
      <c r="D352" s="2" t="str">
        <f>IFERROR(LEFT(Tabela1[[#This Row],[N°S]],LEN(Tabela1[[#This Row],[N°S]])-1),"")</f>
        <v/>
      </c>
      <c r="E352" s="1" t="str" cm="1">
        <f t="array" ref="E352">IFERROR(time_diff_cor(Tabela1[[#This Row],[Largada]],Tabela1[[#This Row],[Chegada]]),"00:20:00:000")</f>
        <v>00:20:00:000</v>
      </c>
      <c r="F352" s="1" t="str" cm="1">
        <f t="array" ref="F352">IFERROR(time_diff(Tabela1[[#This Row],[TEMPO]],E351),"00:00:00:000")</f>
        <v>00:00:00:00</v>
      </c>
      <c r="G352" s="1" t="str" cm="1">
        <f t="array" aca="1" ref="G352" ca="1">IF(Tabela1[[#This Row],[N°]]=D351,time_sum(Tabela1[[#This Row],[TEMPO]],E351),Tabela1[[#This Row],[TEMPO]])</f>
        <v>00:40:00:000</v>
      </c>
      <c r="H352" s="1" t="e">
        <f>VLOOKUP(C352,LARGADA!A:B,2,FALSE)</f>
        <v>#N/A</v>
      </c>
      <c r="I352" s="1" t="e">
        <f>VLOOKUP(C352,CHEGADA!A:B,2,FALSE)</f>
        <v>#N/A</v>
      </c>
    </row>
    <row r="353" spans="4:9">
      <c r="D353" s="2" t="str">
        <f>IFERROR(LEFT(Tabela1[[#This Row],[N°S]],LEN(Tabela1[[#This Row],[N°S]])-1),"")</f>
        <v/>
      </c>
      <c r="E353" s="1" t="str" cm="1">
        <f t="array" ref="E353">IFERROR(time_diff_cor(Tabela1[[#This Row],[Largada]],Tabela1[[#This Row],[Chegada]]),"00:20:00:000")</f>
        <v>00:20:00:000</v>
      </c>
      <c r="F353" s="1" t="str" cm="1">
        <f t="array" ref="F353">IFERROR(time_diff(Tabela1[[#This Row],[TEMPO]],E352),"00:00:00:000")</f>
        <v>00:00:00:00</v>
      </c>
      <c r="G353" s="1" t="str" cm="1">
        <f t="array" aca="1" ref="G353" ca="1">IF(Tabela1[[#This Row],[N°]]=D352,time_sum(Tabela1[[#This Row],[TEMPO]],E352),Tabela1[[#This Row],[TEMPO]])</f>
        <v>00:40:00:000</v>
      </c>
      <c r="H353" s="1" t="e">
        <f>VLOOKUP(C353,LARGADA!A:B,2,FALSE)</f>
        <v>#N/A</v>
      </c>
      <c r="I353" s="1" t="e">
        <f>VLOOKUP(C353,CHEGADA!A:B,2,FALSE)</f>
        <v>#N/A</v>
      </c>
    </row>
    <row r="354" spans="4:9">
      <c r="D354" s="2" t="str">
        <f>IFERROR(LEFT(Tabela1[[#This Row],[N°S]],LEN(Tabela1[[#This Row],[N°S]])-1),"")</f>
        <v/>
      </c>
      <c r="E354" s="1" t="str" cm="1">
        <f t="array" ref="E354">IFERROR(time_diff_cor(Tabela1[[#This Row],[Largada]],Tabela1[[#This Row],[Chegada]]),"00:20:00:000")</f>
        <v>00:20:00:000</v>
      </c>
      <c r="F354" s="1" t="str" cm="1">
        <f t="array" ref="F354">IFERROR(time_diff(Tabela1[[#This Row],[TEMPO]],E353),"00:00:00:000")</f>
        <v>00:00:00:00</v>
      </c>
      <c r="G354" s="1" t="str" cm="1">
        <f t="array" aca="1" ref="G354" ca="1">IF(Tabela1[[#This Row],[N°]]=D353,time_sum(Tabela1[[#This Row],[TEMPO]],E353),Tabela1[[#This Row],[TEMPO]])</f>
        <v>00:40:00:000</v>
      </c>
      <c r="H354" s="1" t="e">
        <f>VLOOKUP(C354,LARGADA!A:B,2,FALSE)</f>
        <v>#N/A</v>
      </c>
      <c r="I354" s="1" t="e">
        <f>VLOOKUP(C354,CHEGADA!A:B,2,FALSE)</f>
        <v>#N/A</v>
      </c>
    </row>
    <row r="355" spans="4:9">
      <c r="D355" s="2" t="str">
        <f>IFERROR(LEFT(Tabela1[[#This Row],[N°S]],LEN(Tabela1[[#This Row],[N°S]])-1),"")</f>
        <v/>
      </c>
      <c r="E355" s="1" t="str" cm="1">
        <f t="array" ref="E355">IFERROR(time_diff_cor(Tabela1[[#This Row],[Largada]],Tabela1[[#This Row],[Chegada]]),"00:20:00:000")</f>
        <v>00:20:00:000</v>
      </c>
      <c r="F355" s="1" t="str" cm="1">
        <f t="array" ref="F355">IFERROR(time_diff(Tabela1[[#This Row],[TEMPO]],E354),"00:00:00:000")</f>
        <v>00:00:00:00</v>
      </c>
      <c r="G355" s="1" t="str" cm="1">
        <f t="array" aca="1" ref="G355" ca="1">IF(Tabela1[[#This Row],[N°]]=D354,time_sum(Tabela1[[#This Row],[TEMPO]],E354),Tabela1[[#This Row],[TEMPO]])</f>
        <v>00:40:00:000</v>
      </c>
      <c r="H355" s="1" t="e">
        <f>VLOOKUP(C355,LARGADA!A:B,2,FALSE)</f>
        <v>#N/A</v>
      </c>
      <c r="I355" s="1" t="e">
        <f>VLOOKUP(C355,CHEGADA!A:B,2,FALSE)</f>
        <v>#N/A</v>
      </c>
    </row>
    <row r="356" spans="4:9">
      <c r="D356" s="2" t="str">
        <f>IFERROR(LEFT(Tabela1[[#This Row],[N°S]],LEN(Tabela1[[#This Row],[N°S]])-1),"")</f>
        <v/>
      </c>
      <c r="E356" s="1" t="str" cm="1">
        <f t="array" ref="E356">IFERROR(time_diff_cor(Tabela1[[#This Row],[Largada]],Tabela1[[#This Row],[Chegada]]),"00:20:00:000")</f>
        <v>00:20:00:000</v>
      </c>
      <c r="F356" s="1" t="str" cm="1">
        <f t="array" ref="F356">IFERROR(time_diff(Tabela1[[#This Row],[TEMPO]],E355),"00:00:00:000")</f>
        <v>00:00:00:00</v>
      </c>
      <c r="G356" s="1" t="str" cm="1">
        <f t="array" aca="1" ref="G356" ca="1">IF(Tabela1[[#This Row],[N°]]=D355,time_sum(Tabela1[[#This Row],[TEMPO]],E355),Tabela1[[#This Row],[TEMPO]])</f>
        <v>00:40:00:000</v>
      </c>
      <c r="H356" s="1" t="e">
        <f>VLOOKUP(C356,LARGADA!A:B,2,FALSE)</f>
        <v>#N/A</v>
      </c>
      <c r="I356" s="1" t="e">
        <f>VLOOKUP(C356,CHEGADA!A:B,2,FALSE)</f>
        <v>#N/A</v>
      </c>
    </row>
    <row r="357" spans="4:9">
      <c r="D357" s="2" t="str">
        <f>IFERROR(LEFT(Tabela1[[#This Row],[N°S]],LEN(Tabela1[[#This Row],[N°S]])-1),"")</f>
        <v/>
      </c>
      <c r="E357" s="1" t="str" cm="1">
        <f t="array" ref="E357">IFERROR(time_diff_cor(Tabela1[[#This Row],[Largada]],Tabela1[[#This Row],[Chegada]]),"00:20:00:000")</f>
        <v>00:20:00:000</v>
      </c>
      <c r="F357" s="1" t="str" cm="1">
        <f t="array" ref="F357">IFERROR(time_diff(Tabela1[[#This Row],[TEMPO]],E356),"00:00:00:000")</f>
        <v>00:00:00:00</v>
      </c>
      <c r="G357" s="1" t="str" cm="1">
        <f t="array" aca="1" ref="G357" ca="1">IF(Tabela1[[#This Row],[N°]]=D356,time_sum(Tabela1[[#This Row],[TEMPO]],E356),Tabela1[[#This Row],[TEMPO]])</f>
        <v>00:40:00:000</v>
      </c>
      <c r="H357" s="1" t="e">
        <f>VLOOKUP(C357,LARGADA!A:B,2,FALSE)</f>
        <v>#N/A</v>
      </c>
      <c r="I357" s="1" t="e">
        <f>VLOOKUP(C357,CHEGADA!A:B,2,FALSE)</f>
        <v>#N/A</v>
      </c>
    </row>
    <row r="358" spans="4:9">
      <c r="D358" s="2" t="str">
        <f>IFERROR(LEFT(Tabela1[[#This Row],[N°S]],LEN(Tabela1[[#This Row],[N°S]])-1),"")</f>
        <v/>
      </c>
      <c r="E358" s="1" t="str" cm="1">
        <f t="array" ref="E358">IFERROR(time_diff_cor(Tabela1[[#This Row],[Largada]],Tabela1[[#This Row],[Chegada]]),"00:20:00:000")</f>
        <v>00:20:00:000</v>
      </c>
      <c r="F358" s="1" t="str" cm="1">
        <f t="array" ref="F358">IFERROR(time_diff(Tabela1[[#This Row],[TEMPO]],E357),"00:00:00:000")</f>
        <v>00:00:00:00</v>
      </c>
      <c r="G358" s="1" t="str" cm="1">
        <f t="array" aca="1" ref="G358" ca="1">IF(Tabela1[[#This Row],[N°]]=D357,time_sum(Tabela1[[#This Row],[TEMPO]],E357),Tabela1[[#This Row],[TEMPO]])</f>
        <v>00:40:00:000</v>
      </c>
      <c r="H358" s="1" t="e">
        <f>VLOOKUP(C358,LARGADA!A:B,2,FALSE)</f>
        <v>#N/A</v>
      </c>
      <c r="I358" s="1" t="e">
        <f>VLOOKUP(C358,CHEGADA!A:B,2,FALSE)</f>
        <v>#N/A</v>
      </c>
    </row>
    <row r="359" spans="4:9">
      <c r="D359" s="2" t="str">
        <f>IFERROR(LEFT(Tabela1[[#This Row],[N°S]],LEN(Tabela1[[#This Row],[N°S]])-1),"")</f>
        <v/>
      </c>
      <c r="E359" s="1" t="str" cm="1">
        <f t="array" ref="E359">IFERROR(time_diff_cor(Tabela1[[#This Row],[Largada]],Tabela1[[#This Row],[Chegada]]),"00:20:00:000")</f>
        <v>00:20:00:000</v>
      </c>
      <c r="F359" s="1" t="str" cm="1">
        <f t="array" ref="F359">IFERROR(time_diff(Tabela1[[#This Row],[TEMPO]],E358),"00:00:00:000")</f>
        <v>00:00:00:00</v>
      </c>
      <c r="G359" s="1" t="str" cm="1">
        <f t="array" aca="1" ref="G359" ca="1">IF(Tabela1[[#This Row],[N°]]=D358,time_sum(Tabela1[[#This Row],[TEMPO]],E358),Tabela1[[#This Row],[TEMPO]])</f>
        <v>00:40:00:000</v>
      </c>
      <c r="H359" s="1" t="e">
        <f>VLOOKUP(C359,LARGADA!A:B,2,FALSE)</f>
        <v>#N/A</v>
      </c>
      <c r="I359" s="1" t="e">
        <f>VLOOKUP(C359,CHEGADA!A:B,2,FALSE)</f>
        <v>#N/A</v>
      </c>
    </row>
    <row r="360" spans="4:9">
      <c r="D360" s="2" t="str">
        <f>IFERROR(LEFT(Tabela1[[#This Row],[N°S]],LEN(Tabela1[[#This Row],[N°S]])-1),"")</f>
        <v/>
      </c>
      <c r="E360" s="1" t="str" cm="1">
        <f t="array" ref="E360">IFERROR(time_diff_cor(Tabela1[[#This Row],[Largada]],Tabela1[[#This Row],[Chegada]]),"00:20:00:000")</f>
        <v>00:20:00:000</v>
      </c>
      <c r="F360" s="1" t="str" cm="1">
        <f t="array" ref="F360">IFERROR(time_diff(Tabela1[[#This Row],[TEMPO]],E359),"00:00:00:000")</f>
        <v>00:00:00:00</v>
      </c>
      <c r="G360" s="1" t="str" cm="1">
        <f t="array" aca="1" ref="G360" ca="1">IF(Tabela1[[#This Row],[N°]]=D359,time_sum(Tabela1[[#This Row],[TEMPO]],E359),Tabela1[[#This Row],[TEMPO]])</f>
        <v>00:40:00:000</v>
      </c>
      <c r="H360" s="1" t="e">
        <f>VLOOKUP(C360,LARGADA!A:B,2,FALSE)</f>
        <v>#N/A</v>
      </c>
      <c r="I360" s="1" t="e">
        <f>VLOOKUP(C360,CHEGADA!A:B,2,FALSE)</f>
        <v>#N/A</v>
      </c>
    </row>
    <row r="361" spans="4:9">
      <c r="D361" s="2" t="str">
        <f>IFERROR(LEFT(Tabela1[[#This Row],[N°S]],LEN(Tabela1[[#This Row],[N°S]])-1),"")</f>
        <v/>
      </c>
      <c r="E361" s="1" t="str" cm="1">
        <f t="array" ref="E361">IFERROR(time_diff_cor(Tabela1[[#This Row],[Largada]],Tabela1[[#This Row],[Chegada]]),"00:20:00:000")</f>
        <v>00:20:00:000</v>
      </c>
      <c r="F361" s="1" t="str" cm="1">
        <f t="array" ref="F361">IFERROR(time_diff(Tabela1[[#This Row],[TEMPO]],E360),"00:00:00:000")</f>
        <v>00:00:00:00</v>
      </c>
      <c r="G361" s="1" t="str" cm="1">
        <f t="array" aca="1" ref="G361" ca="1">IF(Tabela1[[#This Row],[N°]]=D360,time_sum(Tabela1[[#This Row],[TEMPO]],E360),Tabela1[[#This Row],[TEMPO]])</f>
        <v>00:40:00:000</v>
      </c>
      <c r="H361" s="1" t="e">
        <f>VLOOKUP(C361,LARGADA!A:B,2,FALSE)</f>
        <v>#N/A</v>
      </c>
      <c r="I361" s="1" t="e">
        <f>VLOOKUP(C361,CHEGADA!A:B,2,FALSE)</f>
        <v>#N/A</v>
      </c>
    </row>
    <row r="362" spans="4:9">
      <c r="D362" s="2" t="str">
        <f>IFERROR(LEFT(Tabela1[[#This Row],[N°S]],LEN(Tabela1[[#This Row],[N°S]])-1),"")</f>
        <v/>
      </c>
      <c r="E362" s="1" t="str" cm="1">
        <f t="array" ref="E362">IFERROR(time_diff_cor(Tabela1[[#This Row],[Largada]],Tabela1[[#This Row],[Chegada]]),"00:20:00:000")</f>
        <v>00:20:00:000</v>
      </c>
      <c r="F362" s="1" t="str" cm="1">
        <f t="array" ref="F362">IFERROR(time_diff(Tabela1[[#This Row],[TEMPO]],E361),"00:00:00:000")</f>
        <v>00:00:00:00</v>
      </c>
      <c r="G362" s="1" t="str" cm="1">
        <f t="array" aca="1" ref="G362" ca="1">IF(Tabela1[[#This Row],[N°]]=D361,time_sum(Tabela1[[#This Row],[TEMPO]],E361),Tabela1[[#This Row],[TEMPO]])</f>
        <v>00:40:00:000</v>
      </c>
      <c r="H362" s="1" t="e">
        <f>VLOOKUP(C362,LARGADA!A:B,2,FALSE)</f>
        <v>#N/A</v>
      </c>
      <c r="I362" s="1" t="e">
        <f>VLOOKUP(C362,CHEGADA!A:B,2,FALSE)</f>
        <v>#N/A</v>
      </c>
    </row>
    <row r="363" spans="4:9">
      <c r="D363" s="2" t="str">
        <f>IFERROR(LEFT(Tabela1[[#This Row],[N°S]],LEN(Tabela1[[#This Row],[N°S]])-1),"")</f>
        <v/>
      </c>
      <c r="E363" s="1" t="str" cm="1">
        <f t="array" ref="E363">IFERROR(time_diff_cor(Tabela1[[#This Row],[Largada]],Tabela1[[#This Row],[Chegada]]),"00:20:00:000")</f>
        <v>00:20:00:000</v>
      </c>
      <c r="F363" s="1" t="str" cm="1">
        <f t="array" ref="F363">IFERROR(time_diff(Tabela1[[#This Row],[TEMPO]],E362),"00:00:00:000")</f>
        <v>00:00:00:00</v>
      </c>
      <c r="G363" s="1" t="str" cm="1">
        <f t="array" aca="1" ref="G363" ca="1">IF(Tabela1[[#This Row],[N°]]=D362,time_sum(Tabela1[[#This Row],[TEMPO]],E362),Tabela1[[#This Row],[TEMPO]])</f>
        <v>00:40:00:000</v>
      </c>
      <c r="H363" s="1" t="e">
        <f>VLOOKUP(C363,LARGADA!A:B,2,FALSE)</f>
        <v>#N/A</v>
      </c>
      <c r="I363" s="1" t="e">
        <f>VLOOKUP(C363,CHEGADA!A:B,2,FALSE)</f>
        <v>#N/A</v>
      </c>
    </row>
    <row r="364" spans="4:9">
      <c r="D364" s="2" t="str">
        <f>IFERROR(LEFT(Tabela1[[#This Row],[N°S]],LEN(Tabela1[[#This Row],[N°S]])-1),"")</f>
        <v/>
      </c>
      <c r="E364" s="1" t="str" cm="1">
        <f t="array" ref="E364">IFERROR(time_diff_cor(Tabela1[[#This Row],[Largada]],Tabela1[[#This Row],[Chegada]]),"00:20:00:000")</f>
        <v>00:20:00:000</v>
      </c>
      <c r="F364" s="1" t="str" cm="1">
        <f t="array" ref="F364">IFERROR(time_diff(Tabela1[[#This Row],[TEMPO]],E363),"00:00:00:000")</f>
        <v>00:00:00:00</v>
      </c>
      <c r="G364" s="1" t="str" cm="1">
        <f t="array" aca="1" ref="G364" ca="1">IF(Tabela1[[#This Row],[N°]]=D363,time_sum(Tabela1[[#This Row],[TEMPO]],E363),Tabela1[[#This Row],[TEMPO]])</f>
        <v>00:40:00:000</v>
      </c>
      <c r="H364" s="1" t="e">
        <f>VLOOKUP(C364,LARGADA!A:B,2,FALSE)</f>
        <v>#N/A</v>
      </c>
      <c r="I364" s="1" t="e">
        <f>VLOOKUP(C364,CHEGADA!A:B,2,FALSE)</f>
        <v>#N/A</v>
      </c>
    </row>
    <row r="365" spans="4:9">
      <c r="D365" s="2" t="str">
        <f>IFERROR(LEFT(Tabela1[[#This Row],[N°S]],LEN(Tabela1[[#This Row],[N°S]])-1),"")</f>
        <v/>
      </c>
      <c r="E365" s="1" t="str" cm="1">
        <f t="array" ref="E365">IFERROR(time_diff_cor(Tabela1[[#This Row],[Largada]],Tabela1[[#This Row],[Chegada]]),"00:20:00:000")</f>
        <v>00:20:00:000</v>
      </c>
      <c r="F365" s="1" t="str" cm="1">
        <f t="array" ref="F365">IFERROR(time_diff(Tabela1[[#This Row],[TEMPO]],E364),"00:00:00:000")</f>
        <v>00:00:00:00</v>
      </c>
      <c r="G365" s="1" t="str" cm="1">
        <f t="array" aca="1" ref="G365" ca="1">IF(Tabela1[[#This Row],[N°]]=D364,time_sum(Tabela1[[#This Row],[TEMPO]],E364),Tabela1[[#This Row],[TEMPO]])</f>
        <v>00:40:00:000</v>
      </c>
      <c r="H365" s="1" t="e">
        <f>VLOOKUP(C365,LARGADA!A:B,2,FALSE)</f>
        <v>#N/A</v>
      </c>
      <c r="I365" s="1" t="e">
        <f>VLOOKUP(C365,CHEGADA!A:B,2,FALSE)</f>
        <v>#N/A</v>
      </c>
    </row>
    <row r="366" spans="4:9">
      <c r="D366" s="2" t="str">
        <f>IFERROR(LEFT(Tabela1[[#This Row],[N°S]],LEN(Tabela1[[#This Row],[N°S]])-1),"")</f>
        <v/>
      </c>
      <c r="E366" s="1" t="str" cm="1">
        <f t="array" ref="E366">IFERROR(time_diff_cor(Tabela1[[#This Row],[Largada]],Tabela1[[#This Row],[Chegada]]),"00:20:00:000")</f>
        <v>00:20:00:000</v>
      </c>
      <c r="F366" s="1" t="str" cm="1">
        <f t="array" ref="F366">IFERROR(time_diff(Tabela1[[#This Row],[TEMPO]],E365),"00:00:00:000")</f>
        <v>00:00:00:00</v>
      </c>
      <c r="G366" s="1" t="str" cm="1">
        <f t="array" aca="1" ref="G366" ca="1">IF(Tabela1[[#This Row],[N°]]=D365,time_sum(Tabela1[[#This Row],[TEMPO]],E365),Tabela1[[#This Row],[TEMPO]])</f>
        <v>00:40:00:000</v>
      </c>
      <c r="H366" s="1" t="e">
        <f>VLOOKUP(C366,LARGADA!A:B,2,FALSE)</f>
        <v>#N/A</v>
      </c>
      <c r="I366" s="1" t="e">
        <f>VLOOKUP(C366,CHEGADA!A:B,2,FALSE)</f>
        <v>#N/A</v>
      </c>
    </row>
    <row r="367" spans="4:9">
      <c r="D367" s="2" t="str">
        <f>IFERROR(LEFT(Tabela1[[#This Row],[N°S]],LEN(Tabela1[[#This Row],[N°S]])-1),"")</f>
        <v/>
      </c>
      <c r="E367" s="1" t="str" cm="1">
        <f t="array" ref="E367">IFERROR(time_diff_cor(Tabela1[[#This Row],[Largada]],Tabela1[[#This Row],[Chegada]]),"00:20:00:000")</f>
        <v>00:20:00:000</v>
      </c>
      <c r="F367" s="1" t="str" cm="1">
        <f t="array" ref="F367">IFERROR(time_diff(Tabela1[[#This Row],[TEMPO]],E366),"00:00:00:000")</f>
        <v>00:00:00:00</v>
      </c>
      <c r="G367" s="1" t="str" cm="1">
        <f t="array" aca="1" ref="G367" ca="1">IF(Tabela1[[#This Row],[N°]]=D366,time_sum(Tabela1[[#This Row],[TEMPO]],E366),Tabela1[[#This Row],[TEMPO]])</f>
        <v>00:40:00:000</v>
      </c>
      <c r="H367" s="1" t="e">
        <f>VLOOKUP(C367,LARGADA!A:B,2,FALSE)</f>
        <v>#N/A</v>
      </c>
      <c r="I367" s="1" t="e">
        <f>VLOOKUP(C367,CHEGADA!A:B,2,FALSE)</f>
        <v>#N/A</v>
      </c>
    </row>
    <row r="368" spans="4:9">
      <c r="D368" s="2" t="str">
        <f>IFERROR(LEFT(Tabela1[[#This Row],[N°S]],LEN(Tabela1[[#This Row],[N°S]])-1),"")</f>
        <v/>
      </c>
      <c r="E368" s="1" t="str" cm="1">
        <f t="array" ref="E368">IFERROR(time_diff_cor(Tabela1[[#This Row],[Largada]],Tabela1[[#This Row],[Chegada]]),"00:20:00:000")</f>
        <v>00:20:00:000</v>
      </c>
      <c r="F368" s="1" t="str" cm="1">
        <f t="array" ref="F368">IFERROR(time_diff(Tabela1[[#This Row],[TEMPO]],E367),"00:00:00:000")</f>
        <v>00:00:00:00</v>
      </c>
      <c r="G368" s="1" t="str" cm="1">
        <f t="array" aca="1" ref="G368" ca="1">IF(Tabela1[[#This Row],[N°]]=D367,time_sum(Tabela1[[#This Row],[TEMPO]],E367),Tabela1[[#This Row],[TEMPO]])</f>
        <v>00:40:00:000</v>
      </c>
      <c r="H368" s="1" t="e">
        <f>VLOOKUP(C368,LARGADA!A:B,2,FALSE)</f>
        <v>#N/A</v>
      </c>
      <c r="I368" s="1" t="e">
        <f>VLOOKUP(C368,CHEGADA!A:B,2,FALSE)</f>
        <v>#N/A</v>
      </c>
    </row>
    <row r="369" spans="4:9">
      <c r="D369" s="2" t="str">
        <f>IFERROR(LEFT(Tabela1[[#This Row],[N°S]],LEN(Tabela1[[#This Row],[N°S]])-1),"")</f>
        <v/>
      </c>
      <c r="E369" s="1" t="str" cm="1">
        <f t="array" ref="E369">IFERROR(time_diff_cor(Tabela1[[#This Row],[Largada]],Tabela1[[#This Row],[Chegada]]),"00:20:00:000")</f>
        <v>00:20:00:000</v>
      </c>
      <c r="F369" s="1" t="str" cm="1">
        <f t="array" ref="F369">IFERROR(time_diff(Tabela1[[#This Row],[TEMPO]],E368),"00:00:00:000")</f>
        <v>00:00:00:00</v>
      </c>
      <c r="G369" s="1" t="str" cm="1">
        <f t="array" aca="1" ref="G369" ca="1">IF(Tabela1[[#This Row],[N°]]=D368,time_sum(Tabela1[[#This Row],[TEMPO]],E368),Tabela1[[#This Row],[TEMPO]])</f>
        <v>00:40:00:000</v>
      </c>
      <c r="H369" s="1" t="e">
        <f>VLOOKUP(C369,LARGADA!A:B,2,FALSE)</f>
        <v>#N/A</v>
      </c>
      <c r="I369" s="1" t="e">
        <f>VLOOKUP(C369,CHEGADA!A:B,2,FALSE)</f>
        <v>#N/A</v>
      </c>
    </row>
    <row r="370" spans="4:9">
      <c r="D370" s="2" t="str">
        <f>IFERROR(LEFT(Tabela1[[#This Row],[N°S]],LEN(Tabela1[[#This Row],[N°S]])-1),"")</f>
        <v/>
      </c>
      <c r="E370" s="1" t="str" cm="1">
        <f t="array" ref="E370">IFERROR(time_diff_cor(Tabela1[[#This Row],[Largada]],Tabela1[[#This Row],[Chegada]]),"00:20:00:000")</f>
        <v>00:20:00:000</v>
      </c>
      <c r="F370" s="1" t="str" cm="1">
        <f t="array" ref="F370">IFERROR(time_diff(Tabela1[[#This Row],[TEMPO]],E369),"00:00:00:000")</f>
        <v>00:00:00:00</v>
      </c>
      <c r="G370" s="1" t="str" cm="1">
        <f t="array" aca="1" ref="G370" ca="1">IF(Tabela1[[#This Row],[N°]]=D369,time_sum(Tabela1[[#This Row],[TEMPO]],E369),Tabela1[[#This Row],[TEMPO]])</f>
        <v>00:40:00:000</v>
      </c>
      <c r="H370" s="1" t="e">
        <f>VLOOKUP(C370,LARGADA!A:B,2,FALSE)</f>
        <v>#N/A</v>
      </c>
      <c r="I370" s="1" t="e">
        <f>VLOOKUP(C370,CHEGADA!A:B,2,FALSE)</f>
        <v>#N/A</v>
      </c>
    </row>
    <row r="371" spans="4:9">
      <c r="D371" s="2" t="str">
        <f>IFERROR(LEFT(Tabela1[[#This Row],[N°S]],LEN(Tabela1[[#This Row],[N°S]])-1),"")</f>
        <v/>
      </c>
      <c r="E371" s="1" t="str" cm="1">
        <f t="array" ref="E371">IFERROR(time_diff_cor(Tabela1[[#This Row],[Largada]],Tabela1[[#This Row],[Chegada]]),"00:20:00:000")</f>
        <v>00:20:00:000</v>
      </c>
      <c r="F371" s="1" t="str" cm="1">
        <f t="array" ref="F371">IFERROR(time_diff(Tabela1[[#This Row],[TEMPO]],E370),"00:00:00:000")</f>
        <v>00:00:00:00</v>
      </c>
      <c r="G371" s="1" t="str" cm="1">
        <f t="array" aca="1" ref="G371" ca="1">IF(Tabela1[[#This Row],[N°]]=D370,time_sum(Tabela1[[#This Row],[TEMPO]],E370),Tabela1[[#This Row],[TEMPO]])</f>
        <v>00:40:00:000</v>
      </c>
      <c r="H371" s="1" t="e">
        <f>VLOOKUP(C371,LARGADA!A:B,2,FALSE)</f>
        <v>#N/A</v>
      </c>
      <c r="I371" s="1" t="e">
        <f>VLOOKUP(C371,CHEGADA!A:B,2,FALSE)</f>
        <v>#N/A</v>
      </c>
    </row>
    <row r="372" spans="4:9">
      <c r="D372" s="2" t="str">
        <f>IFERROR(LEFT(Tabela1[[#This Row],[N°S]],LEN(Tabela1[[#This Row],[N°S]])-1),"")</f>
        <v/>
      </c>
      <c r="E372" s="1" t="str" cm="1">
        <f t="array" ref="E372">IFERROR(time_diff_cor(Tabela1[[#This Row],[Largada]],Tabela1[[#This Row],[Chegada]]),"00:20:00:000")</f>
        <v>00:20:00:000</v>
      </c>
      <c r="F372" s="1" t="str" cm="1">
        <f t="array" ref="F372">IFERROR(time_diff(Tabela1[[#This Row],[TEMPO]],E371),"00:00:00:000")</f>
        <v>00:00:00:00</v>
      </c>
      <c r="G372" s="1" t="str" cm="1">
        <f t="array" aca="1" ref="G372" ca="1">IF(Tabela1[[#This Row],[N°]]=D371,time_sum(Tabela1[[#This Row],[TEMPO]],E371),Tabela1[[#This Row],[TEMPO]])</f>
        <v>00:40:00:000</v>
      </c>
      <c r="H372" s="1" t="e">
        <f>VLOOKUP(C372,LARGADA!A:B,2,FALSE)</f>
        <v>#N/A</v>
      </c>
      <c r="I372" s="1" t="e">
        <f>VLOOKUP(C372,CHEGADA!A:B,2,FALSE)</f>
        <v>#N/A</v>
      </c>
    </row>
    <row r="373" spans="4:9">
      <c r="D373" s="2" t="str">
        <f>IFERROR(LEFT(Tabela1[[#This Row],[N°S]],LEN(Tabela1[[#This Row],[N°S]])-1),"")</f>
        <v/>
      </c>
      <c r="E373" s="1" t="str" cm="1">
        <f t="array" ref="E373">IFERROR(time_diff_cor(Tabela1[[#This Row],[Largada]],Tabela1[[#This Row],[Chegada]]),"00:20:00:000")</f>
        <v>00:20:00:000</v>
      </c>
      <c r="F373" s="1" t="str" cm="1">
        <f t="array" ref="F373">IFERROR(time_diff(Tabela1[[#This Row],[TEMPO]],E372),"00:00:00:000")</f>
        <v>00:00:00:00</v>
      </c>
      <c r="G373" s="1" t="str" cm="1">
        <f t="array" aca="1" ref="G373" ca="1">IF(Tabela1[[#This Row],[N°]]=D372,time_sum(Tabela1[[#This Row],[TEMPO]],E372),Tabela1[[#This Row],[TEMPO]])</f>
        <v>00:40:00:000</v>
      </c>
      <c r="H373" s="1" t="e">
        <f>VLOOKUP(C373,LARGADA!A:B,2,FALSE)</f>
        <v>#N/A</v>
      </c>
      <c r="I373" s="1" t="e">
        <f>VLOOKUP(C373,CHEGADA!A:B,2,FALSE)</f>
        <v>#N/A</v>
      </c>
    </row>
    <row r="374" spans="4:9">
      <c r="D374" s="2" t="str">
        <f>IFERROR(LEFT(Tabela1[[#This Row],[N°S]],LEN(Tabela1[[#This Row],[N°S]])-1),"")</f>
        <v/>
      </c>
      <c r="E374" s="1" t="str" cm="1">
        <f t="array" ref="E374">IFERROR(time_diff_cor(Tabela1[[#This Row],[Largada]],Tabela1[[#This Row],[Chegada]]),"00:20:00:000")</f>
        <v>00:20:00:000</v>
      </c>
      <c r="F374" s="1" t="str" cm="1">
        <f t="array" ref="F374">IFERROR(time_diff(Tabela1[[#This Row],[TEMPO]],E373),"00:00:00:000")</f>
        <v>00:00:00:00</v>
      </c>
      <c r="G374" s="1" t="str" cm="1">
        <f t="array" aca="1" ref="G374" ca="1">IF(Tabela1[[#This Row],[N°]]=D373,time_sum(Tabela1[[#This Row],[TEMPO]],E373),Tabela1[[#This Row],[TEMPO]])</f>
        <v>00:40:00:000</v>
      </c>
      <c r="H374" s="1" t="e">
        <f>VLOOKUP(C374,LARGADA!A:B,2,FALSE)</f>
        <v>#N/A</v>
      </c>
      <c r="I374" s="1" t="e">
        <f>VLOOKUP(C374,CHEGADA!A:B,2,FALSE)</f>
        <v>#N/A</v>
      </c>
    </row>
    <row r="375" spans="4:9">
      <c r="D375" s="2" t="str">
        <f>IFERROR(LEFT(Tabela1[[#This Row],[N°S]],LEN(Tabela1[[#This Row],[N°S]])-1),"")</f>
        <v/>
      </c>
      <c r="E375" s="1" t="str" cm="1">
        <f t="array" ref="E375">IFERROR(time_diff_cor(Tabela1[[#This Row],[Largada]],Tabela1[[#This Row],[Chegada]]),"00:20:00:000")</f>
        <v>00:20:00:000</v>
      </c>
      <c r="F375" s="1" t="str" cm="1">
        <f t="array" ref="F375">IFERROR(time_diff(Tabela1[[#This Row],[TEMPO]],E374),"00:00:00:000")</f>
        <v>00:00:00:00</v>
      </c>
      <c r="G375" s="1" t="str" cm="1">
        <f t="array" aca="1" ref="G375" ca="1">IF(Tabela1[[#This Row],[N°]]=D374,time_sum(Tabela1[[#This Row],[TEMPO]],E374),Tabela1[[#This Row],[TEMPO]])</f>
        <v>00:40:00:000</v>
      </c>
      <c r="H375" s="1" t="e">
        <f>VLOOKUP(C375,LARGADA!A:B,2,FALSE)</f>
        <v>#N/A</v>
      </c>
      <c r="I375" s="1" t="e">
        <f>VLOOKUP(C375,CHEGADA!A:B,2,FALSE)</f>
        <v>#N/A</v>
      </c>
    </row>
    <row r="376" spans="4:9">
      <c r="D376" s="2" t="str">
        <f>IFERROR(LEFT(Tabela1[[#This Row],[N°S]],LEN(Tabela1[[#This Row],[N°S]])-1),"")</f>
        <v/>
      </c>
      <c r="E376" s="1" t="str" cm="1">
        <f t="array" ref="E376">IFERROR(time_diff_cor(Tabela1[[#This Row],[Largada]],Tabela1[[#This Row],[Chegada]]),"00:20:00:000")</f>
        <v>00:20:00:000</v>
      </c>
      <c r="F376" s="1" t="str" cm="1">
        <f t="array" ref="F376">IFERROR(time_diff(Tabela1[[#This Row],[TEMPO]],E375),"00:00:00:000")</f>
        <v>00:00:00:00</v>
      </c>
      <c r="G376" s="1" t="str" cm="1">
        <f t="array" aca="1" ref="G376" ca="1">IF(Tabela1[[#This Row],[N°]]=D375,time_sum(Tabela1[[#This Row],[TEMPO]],E375),Tabela1[[#This Row],[TEMPO]])</f>
        <v>00:40:00:000</v>
      </c>
      <c r="H376" s="1" t="e">
        <f>VLOOKUP(C376,LARGADA!A:B,2,FALSE)</f>
        <v>#N/A</v>
      </c>
      <c r="I376" s="1" t="e">
        <f>VLOOKUP(C376,CHEGADA!A:B,2,FALSE)</f>
        <v>#N/A</v>
      </c>
    </row>
    <row r="377" spans="4:9">
      <c r="D377" s="2" t="str">
        <f>IFERROR(LEFT(Tabela1[[#This Row],[N°S]],LEN(Tabela1[[#This Row],[N°S]])-1),"")</f>
        <v/>
      </c>
      <c r="E377" s="1" t="str" cm="1">
        <f t="array" ref="E377">IFERROR(time_diff_cor(Tabela1[[#This Row],[Largada]],Tabela1[[#This Row],[Chegada]]),"00:20:00:000")</f>
        <v>00:20:00:000</v>
      </c>
      <c r="F377" s="1" t="str" cm="1">
        <f t="array" ref="F377">IFERROR(time_diff(Tabela1[[#This Row],[TEMPO]],E376),"00:00:00:000")</f>
        <v>00:00:00:00</v>
      </c>
      <c r="G377" s="1" t="str" cm="1">
        <f t="array" aca="1" ref="G377" ca="1">IF(Tabela1[[#This Row],[N°]]=D376,time_sum(Tabela1[[#This Row],[TEMPO]],E376),Tabela1[[#This Row],[TEMPO]])</f>
        <v>00:40:00:000</v>
      </c>
      <c r="H377" s="1" t="e">
        <f>VLOOKUP(C377,LARGADA!A:B,2,FALSE)</f>
        <v>#N/A</v>
      </c>
      <c r="I377" s="1" t="e">
        <f>VLOOKUP(C377,CHEGADA!A:B,2,FALSE)</f>
        <v>#N/A</v>
      </c>
    </row>
    <row r="378" spans="4:9">
      <c r="D378" s="2" t="str">
        <f>IFERROR(LEFT(Tabela1[[#This Row],[N°S]],LEN(Tabela1[[#This Row],[N°S]])-1),"")</f>
        <v/>
      </c>
      <c r="E378" s="1" t="str" cm="1">
        <f t="array" ref="E378">IFERROR(time_diff_cor(Tabela1[[#This Row],[Largada]],Tabela1[[#This Row],[Chegada]]),"00:20:00:000")</f>
        <v>00:20:00:000</v>
      </c>
      <c r="F378" s="1" t="str" cm="1">
        <f t="array" ref="F378">IFERROR(time_diff(Tabela1[[#This Row],[TEMPO]],E377),"00:00:00:000")</f>
        <v>00:00:00:00</v>
      </c>
      <c r="G378" s="1" t="str" cm="1">
        <f t="array" aca="1" ref="G378" ca="1">IF(Tabela1[[#This Row],[N°]]=D377,time_sum(Tabela1[[#This Row],[TEMPO]],E377),Tabela1[[#This Row],[TEMPO]])</f>
        <v>00:40:00:000</v>
      </c>
      <c r="H378" s="1" t="e">
        <f>VLOOKUP(C378,LARGADA!A:B,2,FALSE)</f>
        <v>#N/A</v>
      </c>
      <c r="I378" s="1" t="e">
        <f>VLOOKUP(C378,CHEGADA!A:B,2,FALSE)</f>
        <v>#N/A</v>
      </c>
    </row>
    <row r="379" spans="4:9">
      <c r="D379" s="2" t="str">
        <f>IFERROR(LEFT(Tabela1[[#This Row],[N°S]],LEN(Tabela1[[#This Row],[N°S]])-1),"")</f>
        <v/>
      </c>
      <c r="E379" s="1" t="str" cm="1">
        <f t="array" ref="E379">IFERROR(time_diff_cor(Tabela1[[#This Row],[Largada]],Tabela1[[#This Row],[Chegada]]),"00:20:00:000")</f>
        <v>00:20:00:000</v>
      </c>
      <c r="F379" s="1" t="str" cm="1">
        <f t="array" ref="F379">IFERROR(time_diff(Tabela1[[#This Row],[TEMPO]],E378),"00:00:00:000")</f>
        <v>00:00:00:00</v>
      </c>
      <c r="G379" s="1" t="str" cm="1">
        <f t="array" aca="1" ref="G379" ca="1">IF(Tabela1[[#This Row],[N°]]=D378,time_sum(Tabela1[[#This Row],[TEMPO]],E378),Tabela1[[#This Row],[TEMPO]])</f>
        <v>00:40:00:000</v>
      </c>
      <c r="H379" s="1" t="e">
        <f>VLOOKUP(C379,LARGADA!A:B,2,FALSE)</f>
        <v>#N/A</v>
      </c>
      <c r="I379" s="1" t="e">
        <f>VLOOKUP(C379,CHEGADA!A:B,2,FALSE)</f>
        <v>#N/A</v>
      </c>
    </row>
    <row r="380" spans="4:9">
      <c r="D380" s="2" t="str">
        <f>IFERROR(LEFT(Tabela1[[#This Row],[N°S]],LEN(Tabela1[[#This Row],[N°S]])-1),"")</f>
        <v/>
      </c>
      <c r="E380" s="1" t="str" cm="1">
        <f t="array" ref="E380">IFERROR(time_diff_cor(Tabela1[[#This Row],[Largada]],Tabela1[[#This Row],[Chegada]]),"00:20:00:000")</f>
        <v>00:20:00:000</v>
      </c>
      <c r="F380" s="1" t="str" cm="1">
        <f t="array" ref="F380">IFERROR(time_diff(Tabela1[[#This Row],[TEMPO]],E379),"00:00:00:000")</f>
        <v>00:00:00:00</v>
      </c>
      <c r="G380" s="1" t="str" cm="1">
        <f t="array" aca="1" ref="G380" ca="1">IF(Tabela1[[#This Row],[N°]]=D379,time_sum(Tabela1[[#This Row],[TEMPO]],E379),Tabela1[[#This Row],[TEMPO]])</f>
        <v>00:40:00:000</v>
      </c>
      <c r="H380" s="1" t="e">
        <f>VLOOKUP(C380,LARGADA!A:B,2,FALSE)</f>
        <v>#N/A</v>
      </c>
      <c r="I380" s="1" t="e">
        <f>VLOOKUP(C380,CHEGADA!A:B,2,FALSE)</f>
        <v>#N/A</v>
      </c>
    </row>
    <row r="381" spans="4:9">
      <c r="D381" s="2" t="str">
        <f>IFERROR(LEFT(Tabela1[[#This Row],[N°S]],LEN(Tabela1[[#This Row],[N°S]])-1),"")</f>
        <v/>
      </c>
      <c r="E381" s="1" t="str" cm="1">
        <f t="array" ref="E381">IFERROR(time_diff_cor(Tabela1[[#This Row],[Largada]],Tabela1[[#This Row],[Chegada]]),"00:20:00:000")</f>
        <v>00:20:00:000</v>
      </c>
      <c r="F381" s="1" t="str" cm="1">
        <f t="array" ref="F381">IFERROR(time_diff(Tabela1[[#This Row],[TEMPO]],E380),"00:00:00:000")</f>
        <v>00:00:00:00</v>
      </c>
      <c r="G381" s="1" t="str" cm="1">
        <f t="array" aca="1" ref="G381" ca="1">IF(Tabela1[[#This Row],[N°]]=D380,time_sum(Tabela1[[#This Row],[TEMPO]],E380),Tabela1[[#This Row],[TEMPO]])</f>
        <v>00:40:00:000</v>
      </c>
      <c r="H381" s="1" t="e">
        <f>VLOOKUP(C381,LARGADA!A:B,2,FALSE)</f>
        <v>#N/A</v>
      </c>
      <c r="I381" s="1" t="e">
        <f>VLOOKUP(C381,CHEGADA!A:B,2,FALSE)</f>
        <v>#N/A</v>
      </c>
    </row>
    <row r="382" spans="4:9">
      <c r="D382" s="2" t="str">
        <f>IFERROR(LEFT(Tabela1[[#This Row],[N°S]],LEN(Tabela1[[#This Row],[N°S]])-1),"")</f>
        <v/>
      </c>
      <c r="E382" s="1" t="str" cm="1">
        <f t="array" ref="E382">IFERROR(time_diff_cor(Tabela1[[#This Row],[Largada]],Tabela1[[#This Row],[Chegada]]),"00:20:00:000")</f>
        <v>00:20:00:000</v>
      </c>
      <c r="F382" s="1" t="str" cm="1">
        <f t="array" ref="F382">IFERROR(time_diff(Tabela1[[#This Row],[TEMPO]],E381),"00:00:00:000")</f>
        <v>00:00:00:00</v>
      </c>
      <c r="G382" s="1" t="str" cm="1">
        <f t="array" aca="1" ref="G382" ca="1">IF(Tabela1[[#This Row],[N°]]=D381,time_sum(Tabela1[[#This Row],[TEMPO]],E381),Tabela1[[#This Row],[TEMPO]])</f>
        <v>00:40:00:000</v>
      </c>
      <c r="H382" s="1" t="e">
        <f>VLOOKUP(C382,LARGADA!A:B,2,FALSE)</f>
        <v>#N/A</v>
      </c>
      <c r="I382" s="1" t="e">
        <f>VLOOKUP(C382,CHEGADA!A:B,2,FALSE)</f>
        <v>#N/A</v>
      </c>
    </row>
    <row r="383" spans="4:9">
      <c r="D383" s="2" t="str">
        <f>IFERROR(LEFT(Tabela1[[#This Row],[N°S]],LEN(Tabela1[[#This Row],[N°S]])-1),"")</f>
        <v/>
      </c>
      <c r="E383" s="1" t="str" cm="1">
        <f t="array" ref="E383">IFERROR(time_diff_cor(Tabela1[[#This Row],[Largada]],Tabela1[[#This Row],[Chegada]]),"00:20:00:000")</f>
        <v>00:20:00:000</v>
      </c>
      <c r="F383" s="1" t="str" cm="1">
        <f t="array" ref="F383">IFERROR(time_diff(Tabela1[[#This Row],[TEMPO]],E382),"00:00:00:000")</f>
        <v>00:00:00:00</v>
      </c>
      <c r="G383" s="1" t="str" cm="1">
        <f t="array" aca="1" ref="G383" ca="1">IF(Tabela1[[#This Row],[N°]]=D382,time_sum(Tabela1[[#This Row],[TEMPO]],E382),Tabela1[[#This Row],[TEMPO]])</f>
        <v>00:40:00:000</v>
      </c>
      <c r="H383" s="1" t="e">
        <f>VLOOKUP(C383,LARGADA!A:B,2,FALSE)</f>
        <v>#N/A</v>
      </c>
      <c r="I383" s="1" t="e">
        <f>VLOOKUP(C383,CHEGADA!A:B,2,FALSE)</f>
        <v>#N/A</v>
      </c>
    </row>
    <row r="384" spans="4:9">
      <c r="D384" s="2" t="str">
        <f>IFERROR(LEFT(Tabela1[[#This Row],[N°S]],LEN(Tabela1[[#This Row],[N°S]])-1),"")</f>
        <v/>
      </c>
      <c r="E384" s="1" t="str" cm="1">
        <f t="array" ref="E384">IFERROR(time_diff_cor(Tabela1[[#This Row],[Largada]],Tabela1[[#This Row],[Chegada]]),"00:20:00:000")</f>
        <v>00:20:00:000</v>
      </c>
      <c r="F384" s="1" t="str" cm="1">
        <f t="array" ref="F384">IFERROR(time_diff(Tabela1[[#This Row],[TEMPO]],E383),"00:00:00:000")</f>
        <v>00:00:00:00</v>
      </c>
      <c r="G384" s="1" t="str" cm="1">
        <f t="array" aca="1" ref="G384" ca="1">IF(Tabela1[[#This Row],[N°]]=D383,time_sum(Tabela1[[#This Row],[TEMPO]],E383),Tabela1[[#This Row],[TEMPO]])</f>
        <v>00:40:00:000</v>
      </c>
      <c r="H384" s="1" t="e">
        <f>VLOOKUP(C384,LARGADA!A:B,2,FALSE)</f>
        <v>#N/A</v>
      </c>
      <c r="I384" s="1" t="e">
        <f>VLOOKUP(C384,CHEGADA!A:B,2,FALSE)</f>
        <v>#N/A</v>
      </c>
    </row>
    <row r="385" spans="4:9">
      <c r="D385" s="2" t="str">
        <f>IFERROR(LEFT(Tabela1[[#This Row],[N°S]],LEN(Tabela1[[#This Row],[N°S]])-1),"")</f>
        <v/>
      </c>
      <c r="E385" s="1" t="str" cm="1">
        <f t="array" ref="E385">IFERROR(time_diff_cor(Tabela1[[#This Row],[Largada]],Tabela1[[#This Row],[Chegada]]),"00:20:00:000")</f>
        <v>00:20:00:000</v>
      </c>
      <c r="F385" s="1" t="str" cm="1">
        <f t="array" ref="F385">IFERROR(time_diff(Tabela1[[#This Row],[TEMPO]],E384),"00:00:00:000")</f>
        <v>00:00:00:00</v>
      </c>
      <c r="G385" s="1" t="str" cm="1">
        <f t="array" aca="1" ref="G385" ca="1">IF(Tabela1[[#This Row],[N°]]=D384,time_sum(Tabela1[[#This Row],[TEMPO]],E384),Tabela1[[#This Row],[TEMPO]])</f>
        <v>00:40:00:000</v>
      </c>
      <c r="H385" s="1" t="e">
        <f>VLOOKUP(C385,LARGADA!A:B,2,FALSE)</f>
        <v>#N/A</v>
      </c>
      <c r="I385" s="1" t="e">
        <f>VLOOKUP(C385,CHEGADA!A:B,2,FALSE)</f>
        <v>#N/A</v>
      </c>
    </row>
    <row r="386" spans="4:9">
      <c r="D386" s="2" t="str">
        <f>IFERROR(LEFT(Tabela1[[#This Row],[N°S]],LEN(Tabela1[[#This Row],[N°S]])-1),"")</f>
        <v/>
      </c>
      <c r="E386" s="1" t="str" cm="1">
        <f t="array" ref="E386">IFERROR(time_diff_cor(Tabela1[[#This Row],[Largada]],Tabela1[[#This Row],[Chegada]]),"00:20:00:000")</f>
        <v>00:20:00:000</v>
      </c>
      <c r="F386" s="1" t="str" cm="1">
        <f t="array" ref="F386">IFERROR(time_diff(Tabela1[[#This Row],[TEMPO]],E385),"00:00:00:000")</f>
        <v>00:00:00:00</v>
      </c>
      <c r="G386" s="1" t="str" cm="1">
        <f t="array" aca="1" ref="G386" ca="1">IF(Tabela1[[#This Row],[N°]]=D385,time_sum(Tabela1[[#This Row],[TEMPO]],E385),Tabela1[[#This Row],[TEMPO]])</f>
        <v>00:40:00:000</v>
      </c>
      <c r="H386" s="1" t="e">
        <f>VLOOKUP(C386,LARGADA!A:B,2,FALSE)</f>
        <v>#N/A</v>
      </c>
      <c r="I386" s="1" t="e">
        <f>VLOOKUP(C386,CHEGADA!A:B,2,FALSE)</f>
        <v>#N/A</v>
      </c>
    </row>
    <row r="387" spans="4:9">
      <c r="D387" s="2" t="str">
        <f>IFERROR(LEFT(Tabela1[[#This Row],[N°S]],LEN(Tabela1[[#This Row],[N°S]])-1),"")</f>
        <v/>
      </c>
      <c r="E387" s="1" t="str" cm="1">
        <f t="array" ref="E387">IFERROR(time_diff_cor(Tabela1[[#This Row],[Largada]],Tabela1[[#This Row],[Chegada]]),"00:20:00:000")</f>
        <v>00:20:00:000</v>
      </c>
      <c r="F387" s="1" t="str" cm="1">
        <f t="array" ref="F387">IFERROR(time_diff(Tabela1[[#This Row],[TEMPO]],E386),"00:00:00:000")</f>
        <v>00:00:00:00</v>
      </c>
      <c r="G387" s="1" t="str" cm="1">
        <f t="array" aca="1" ref="G387" ca="1">IF(Tabela1[[#This Row],[N°]]=D386,time_sum(Tabela1[[#This Row],[TEMPO]],E386),Tabela1[[#This Row],[TEMPO]])</f>
        <v>00:40:00:000</v>
      </c>
      <c r="H387" s="1" t="e">
        <f>VLOOKUP(C387,LARGADA!A:B,2,FALSE)</f>
        <v>#N/A</v>
      </c>
      <c r="I387" s="1" t="e">
        <f>VLOOKUP(C387,CHEGADA!A:B,2,FALSE)</f>
        <v>#N/A</v>
      </c>
    </row>
    <row r="388" spans="4:9">
      <c r="D388" s="2" t="str">
        <f>IFERROR(LEFT(Tabela1[[#This Row],[N°S]],LEN(Tabela1[[#This Row],[N°S]])-1),"")</f>
        <v/>
      </c>
      <c r="E388" s="1" t="str" cm="1">
        <f t="array" ref="E388">IFERROR(time_diff_cor(Tabela1[[#This Row],[Largada]],Tabela1[[#This Row],[Chegada]]),"00:20:00:000")</f>
        <v>00:20:00:000</v>
      </c>
      <c r="F388" s="1" t="str" cm="1">
        <f t="array" ref="F388">IFERROR(time_diff(Tabela1[[#This Row],[TEMPO]],E387),"00:00:00:000")</f>
        <v>00:00:00:00</v>
      </c>
      <c r="G388" s="1" t="str" cm="1">
        <f t="array" aca="1" ref="G388" ca="1">IF(Tabela1[[#This Row],[N°]]=D387,time_sum(Tabela1[[#This Row],[TEMPO]],E387),Tabela1[[#This Row],[TEMPO]])</f>
        <v>00:40:00:000</v>
      </c>
      <c r="H388" s="1" t="e">
        <f>VLOOKUP(C388,LARGADA!A:B,2,FALSE)</f>
        <v>#N/A</v>
      </c>
      <c r="I388" s="1" t="e">
        <f>VLOOKUP(C388,CHEGADA!A:B,2,FALSE)</f>
        <v>#N/A</v>
      </c>
    </row>
    <row r="389" spans="4:9">
      <c r="D389" s="2" t="str">
        <f>IFERROR(LEFT(Tabela1[[#This Row],[N°S]],LEN(Tabela1[[#This Row],[N°S]])-1),"")</f>
        <v/>
      </c>
      <c r="E389" s="1" t="str" cm="1">
        <f t="array" ref="E389">IFERROR(time_diff_cor(Tabela1[[#This Row],[Largada]],Tabela1[[#This Row],[Chegada]]),"00:20:00:000")</f>
        <v>00:20:00:000</v>
      </c>
      <c r="F389" s="1" t="str" cm="1">
        <f t="array" ref="F389">IFERROR(time_diff(Tabela1[[#This Row],[TEMPO]],E388),"00:00:00:000")</f>
        <v>00:00:00:00</v>
      </c>
      <c r="G389" s="1" t="str" cm="1">
        <f t="array" aca="1" ref="G389" ca="1">IF(Tabela1[[#This Row],[N°]]=D388,time_sum(Tabela1[[#This Row],[TEMPO]],E388),Tabela1[[#This Row],[TEMPO]])</f>
        <v>00:40:00:000</v>
      </c>
      <c r="H389" s="1" t="e">
        <f>VLOOKUP(C389,LARGADA!A:B,2,FALSE)</f>
        <v>#N/A</v>
      </c>
      <c r="I389" s="1" t="e">
        <f>VLOOKUP(C389,CHEGADA!A:B,2,FALSE)</f>
        <v>#N/A</v>
      </c>
    </row>
    <row r="390" spans="4:9">
      <c r="D390" s="2" t="str">
        <f>IFERROR(LEFT(Tabela1[[#This Row],[N°S]],LEN(Tabela1[[#This Row],[N°S]])-1),"")</f>
        <v/>
      </c>
      <c r="E390" s="1" t="str" cm="1">
        <f t="array" ref="E390">IFERROR(time_diff_cor(Tabela1[[#This Row],[Largada]],Tabela1[[#This Row],[Chegada]]),"00:20:00:000")</f>
        <v>00:20:00:000</v>
      </c>
      <c r="F390" s="1" t="str" cm="1">
        <f t="array" ref="F390">IFERROR(time_diff(Tabela1[[#This Row],[TEMPO]],E389),"00:00:00:000")</f>
        <v>00:00:00:00</v>
      </c>
      <c r="G390" s="1" t="str" cm="1">
        <f t="array" aca="1" ref="G390" ca="1">IF(Tabela1[[#This Row],[N°]]=D389,time_sum(Tabela1[[#This Row],[TEMPO]],E389),Tabela1[[#This Row],[TEMPO]])</f>
        <v>00:40:00:000</v>
      </c>
      <c r="H390" s="1" t="e">
        <f>VLOOKUP(C390,LARGADA!A:B,2,FALSE)</f>
        <v>#N/A</v>
      </c>
      <c r="I390" s="1" t="e">
        <f>VLOOKUP(C390,CHEGADA!A:B,2,FALSE)</f>
        <v>#N/A</v>
      </c>
    </row>
    <row r="391" spans="4:9">
      <c r="D391" s="2" t="str">
        <f>IFERROR(LEFT(Tabela1[[#This Row],[N°S]],LEN(Tabela1[[#This Row],[N°S]])-1),"")</f>
        <v/>
      </c>
      <c r="E391" s="1" t="str" cm="1">
        <f t="array" ref="E391">IFERROR(time_diff_cor(Tabela1[[#This Row],[Largada]],Tabela1[[#This Row],[Chegada]]),"00:20:00:000")</f>
        <v>00:20:00:000</v>
      </c>
      <c r="F391" s="1" t="str" cm="1">
        <f t="array" ref="F391">IFERROR(time_diff(Tabela1[[#This Row],[TEMPO]],E390),"00:00:00:000")</f>
        <v>00:00:00:00</v>
      </c>
      <c r="G391" s="1" t="str" cm="1">
        <f t="array" aca="1" ref="G391" ca="1">IF(Tabela1[[#This Row],[N°]]=D390,time_sum(Tabela1[[#This Row],[TEMPO]],E390),Tabela1[[#This Row],[TEMPO]])</f>
        <v>00:40:00:000</v>
      </c>
      <c r="H391" s="1" t="e">
        <f>VLOOKUP(C391,LARGADA!A:B,2,FALSE)</f>
        <v>#N/A</v>
      </c>
      <c r="I391" s="1" t="e">
        <f>VLOOKUP(C391,CHEGADA!A:B,2,FALSE)</f>
        <v>#N/A</v>
      </c>
    </row>
    <row r="392" spans="4:9">
      <c r="D392" s="2" t="str">
        <f>IFERROR(LEFT(Tabela1[[#This Row],[N°S]],LEN(Tabela1[[#This Row],[N°S]])-1),"")</f>
        <v/>
      </c>
      <c r="E392" s="1" t="str" cm="1">
        <f t="array" ref="E392">IFERROR(time_diff_cor(Tabela1[[#This Row],[Largada]],Tabela1[[#This Row],[Chegada]]),"00:20:00:000")</f>
        <v>00:20:00:000</v>
      </c>
      <c r="F392" s="1" t="str" cm="1">
        <f t="array" ref="F392">IFERROR(time_diff(Tabela1[[#This Row],[TEMPO]],E391),"00:00:00:000")</f>
        <v>00:00:00:00</v>
      </c>
      <c r="G392" s="1" t="str" cm="1">
        <f t="array" aca="1" ref="G392" ca="1">IF(Tabela1[[#This Row],[N°]]=D391,time_sum(Tabela1[[#This Row],[TEMPO]],E391),Tabela1[[#This Row],[TEMPO]])</f>
        <v>00:40:00:000</v>
      </c>
      <c r="H392" s="1" t="e">
        <f>VLOOKUP(C392,LARGADA!A:B,2,FALSE)</f>
        <v>#N/A</v>
      </c>
      <c r="I392" s="1" t="e">
        <f>VLOOKUP(C392,CHEGADA!A:B,2,FALSE)</f>
        <v>#N/A</v>
      </c>
    </row>
    <row r="393" spans="4:9">
      <c r="D393" s="2" t="str">
        <f>IFERROR(LEFT(Tabela1[[#This Row],[N°S]],LEN(Tabela1[[#This Row],[N°S]])-1),"")</f>
        <v/>
      </c>
      <c r="E393" s="1" t="str" cm="1">
        <f t="array" ref="E393">IFERROR(time_diff_cor(Tabela1[[#This Row],[Largada]],Tabela1[[#This Row],[Chegada]]),"00:20:00:000")</f>
        <v>00:20:00:000</v>
      </c>
      <c r="F393" s="1" t="str" cm="1">
        <f t="array" ref="F393">IFERROR(time_diff(Tabela1[[#This Row],[TEMPO]],E392),"00:00:00:000")</f>
        <v>00:00:00:00</v>
      </c>
      <c r="G393" s="1" t="str" cm="1">
        <f t="array" aca="1" ref="G393" ca="1">IF(Tabela1[[#This Row],[N°]]=D392,time_sum(Tabela1[[#This Row],[TEMPO]],E392),Tabela1[[#This Row],[TEMPO]])</f>
        <v>00:40:00:000</v>
      </c>
      <c r="H393" s="1" t="e">
        <f>VLOOKUP(C393,LARGADA!A:B,2,FALSE)</f>
        <v>#N/A</v>
      </c>
      <c r="I393" s="1" t="e">
        <f>VLOOKUP(C393,CHEGADA!A:B,2,FALSE)</f>
        <v>#N/A</v>
      </c>
    </row>
    <row r="394" spans="4:9">
      <c r="D394" s="2" t="str">
        <f>IFERROR(LEFT(Tabela1[[#This Row],[N°S]],LEN(Tabela1[[#This Row],[N°S]])-1),"")</f>
        <v/>
      </c>
      <c r="E394" s="1" t="str" cm="1">
        <f t="array" ref="E394">IFERROR(time_diff_cor(Tabela1[[#This Row],[Largada]],Tabela1[[#This Row],[Chegada]]),"00:20:00:000")</f>
        <v>00:20:00:000</v>
      </c>
      <c r="F394" s="1" t="str" cm="1">
        <f t="array" ref="F394">IFERROR(time_diff(Tabela1[[#This Row],[TEMPO]],E393),"00:00:00:000")</f>
        <v>00:00:00:00</v>
      </c>
      <c r="G394" s="1" t="str" cm="1">
        <f t="array" aca="1" ref="G394" ca="1">IF(Tabela1[[#This Row],[N°]]=D393,time_sum(Tabela1[[#This Row],[TEMPO]],E393),Tabela1[[#This Row],[TEMPO]])</f>
        <v>00:40:00:000</v>
      </c>
      <c r="H394" s="1" t="e">
        <f>VLOOKUP(C394,LARGADA!A:B,2,FALSE)</f>
        <v>#N/A</v>
      </c>
      <c r="I394" s="1" t="e">
        <f>VLOOKUP(C394,CHEGADA!A:B,2,FALSE)</f>
        <v>#N/A</v>
      </c>
    </row>
    <row r="395" spans="4:9">
      <c r="D395" s="2" t="str">
        <f>IFERROR(LEFT(Tabela1[[#This Row],[N°S]],LEN(Tabela1[[#This Row],[N°S]])-1),"")</f>
        <v/>
      </c>
      <c r="E395" s="1" t="str" cm="1">
        <f t="array" ref="E395">IFERROR(time_diff_cor(Tabela1[[#This Row],[Largada]],Tabela1[[#This Row],[Chegada]]),"00:20:00:000")</f>
        <v>00:20:00:000</v>
      </c>
      <c r="F395" s="1" t="str" cm="1">
        <f t="array" ref="F395">IFERROR(time_diff(Tabela1[[#This Row],[TEMPO]],E394),"00:00:00:000")</f>
        <v>00:00:00:00</v>
      </c>
      <c r="G395" s="1" t="str" cm="1">
        <f t="array" aca="1" ref="G395" ca="1">IF(Tabela1[[#This Row],[N°]]=D394,time_sum(Tabela1[[#This Row],[TEMPO]],E394),Tabela1[[#This Row],[TEMPO]])</f>
        <v>00:40:00:000</v>
      </c>
      <c r="H395" s="1" t="e">
        <f>VLOOKUP(C395,LARGADA!A:B,2,FALSE)</f>
        <v>#N/A</v>
      </c>
      <c r="I395" s="1" t="e">
        <f>VLOOKUP(C395,CHEGADA!A:B,2,FALSE)</f>
        <v>#N/A</v>
      </c>
    </row>
    <row r="396" spans="4:9">
      <c r="D396" s="2" t="str">
        <f>IFERROR(LEFT(Tabela1[[#This Row],[N°S]],LEN(Tabela1[[#This Row],[N°S]])-1),"")</f>
        <v/>
      </c>
      <c r="E396" s="1" t="str" cm="1">
        <f t="array" ref="E396">IFERROR(time_diff_cor(Tabela1[[#This Row],[Largada]],Tabela1[[#This Row],[Chegada]]),"00:20:00:000")</f>
        <v>00:20:00:000</v>
      </c>
      <c r="F396" s="1" t="str" cm="1">
        <f t="array" ref="F396">IFERROR(time_diff(Tabela1[[#This Row],[TEMPO]],E395),"00:00:00:000")</f>
        <v>00:00:00:00</v>
      </c>
      <c r="G396" s="1" t="str" cm="1">
        <f t="array" aca="1" ref="G396" ca="1">IF(Tabela1[[#This Row],[N°]]=D395,time_sum(Tabela1[[#This Row],[TEMPO]],E395),Tabela1[[#This Row],[TEMPO]])</f>
        <v>00:40:00:000</v>
      </c>
      <c r="H396" s="1" t="e">
        <f>VLOOKUP(C396,LARGADA!A:B,2,FALSE)</f>
        <v>#N/A</v>
      </c>
      <c r="I396" s="1" t="e">
        <f>VLOOKUP(C396,CHEGADA!A:B,2,FALSE)</f>
        <v>#N/A</v>
      </c>
    </row>
    <row r="397" spans="4:9">
      <c r="D397" s="2" t="str">
        <f>IFERROR(LEFT(Tabela1[[#This Row],[N°S]],LEN(Tabela1[[#This Row],[N°S]])-1),"")</f>
        <v/>
      </c>
      <c r="E397" s="1" t="str" cm="1">
        <f t="array" ref="E397">IFERROR(time_diff_cor(Tabela1[[#This Row],[Largada]],Tabela1[[#This Row],[Chegada]]),"00:20:00:000")</f>
        <v>00:20:00:000</v>
      </c>
      <c r="F397" s="1" t="str" cm="1">
        <f t="array" ref="F397">IFERROR(time_diff(Tabela1[[#This Row],[TEMPO]],E396),"00:00:00:000")</f>
        <v>00:00:00:00</v>
      </c>
      <c r="G397" s="1" t="str" cm="1">
        <f t="array" aca="1" ref="G397" ca="1">IF(Tabela1[[#This Row],[N°]]=D396,time_sum(Tabela1[[#This Row],[TEMPO]],E396),Tabela1[[#This Row],[TEMPO]])</f>
        <v>00:40:00:000</v>
      </c>
      <c r="H397" s="1" t="e">
        <f>VLOOKUP(C397,LARGADA!A:B,2,FALSE)</f>
        <v>#N/A</v>
      </c>
      <c r="I397" s="1" t="e">
        <f>VLOOKUP(C397,CHEGADA!A:B,2,FALSE)</f>
        <v>#N/A</v>
      </c>
    </row>
    <row r="398" spans="4:9">
      <c r="D398" s="2" t="str">
        <f>IFERROR(LEFT(Tabela1[[#This Row],[N°S]],LEN(Tabela1[[#This Row],[N°S]])-1),"")</f>
        <v/>
      </c>
      <c r="E398" s="1" t="str" cm="1">
        <f t="array" ref="E398">IFERROR(time_diff_cor(Tabela1[[#This Row],[Largada]],Tabela1[[#This Row],[Chegada]]),"00:20:00:000")</f>
        <v>00:20:00:000</v>
      </c>
      <c r="F398" s="1" t="str" cm="1">
        <f t="array" ref="F398">IFERROR(time_diff(Tabela1[[#This Row],[TEMPO]],E397),"00:00:00:000")</f>
        <v>00:00:00:00</v>
      </c>
      <c r="G398" s="1" t="str" cm="1">
        <f t="array" aca="1" ref="G398" ca="1">IF(Tabela1[[#This Row],[N°]]=D397,time_sum(Tabela1[[#This Row],[TEMPO]],E397),Tabela1[[#This Row],[TEMPO]])</f>
        <v>00:40:00:000</v>
      </c>
      <c r="H398" s="1" t="e">
        <f>VLOOKUP(C398,LARGADA!A:B,2,FALSE)</f>
        <v>#N/A</v>
      </c>
      <c r="I398" s="1" t="e">
        <f>VLOOKUP(C398,CHEGADA!A:B,2,FALSE)</f>
        <v>#N/A</v>
      </c>
    </row>
    <row r="399" spans="4:9">
      <c r="D399" s="2" t="str">
        <f>IFERROR(LEFT(Tabela1[[#This Row],[N°S]],LEN(Tabela1[[#This Row],[N°S]])-1),"")</f>
        <v/>
      </c>
      <c r="E399" s="1" t="str" cm="1">
        <f t="array" ref="E399">IFERROR(time_diff_cor(Tabela1[[#This Row],[Largada]],Tabela1[[#This Row],[Chegada]]),"00:20:00:000")</f>
        <v>00:20:00:000</v>
      </c>
      <c r="F399" s="1" t="str" cm="1">
        <f t="array" ref="F399">IFERROR(time_diff(Tabela1[[#This Row],[TEMPO]],E398),"00:00:00:000")</f>
        <v>00:00:00:00</v>
      </c>
      <c r="G399" s="1" t="str" cm="1">
        <f t="array" aca="1" ref="G399" ca="1">IF(Tabela1[[#This Row],[N°]]=D398,time_sum(Tabela1[[#This Row],[TEMPO]],E398),Tabela1[[#This Row],[TEMPO]])</f>
        <v>00:40:00:000</v>
      </c>
      <c r="H399" s="1" t="e">
        <f>VLOOKUP(C399,LARGADA!A:B,2,FALSE)</f>
        <v>#N/A</v>
      </c>
      <c r="I399" s="1" t="e">
        <f>VLOOKUP(C399,CHEGADA!A:B,2,FALSE)</f>
        <v>#N/A</v>
      </c>
    </row>
    <row r="400" spans="4:9">
      <c r="D400" s="2" t="str">
        <f>IFERROR(LEFT(Tabela1[[#This Row],[N°S]],LEN(Tabela1[[#This Row],[N°S]])-1),"")</f>
        <v/>
      </c>
      <c r="E400" s="1" t="str" cm="1">
        <f t="array" ref="E400">IFERROR(time_diff_cor(Tabela1[[#This Row],[Largada]],Tabela1[[#This Row],[Chegada]]),"00:20:00:000")</f>
        <v>00:20:00:000</v>
      </c>
      <c r="F400" s="1" t="str" cm="1">
        <f t="array" ref="F400">IFERROR(time_diff(Tabela1[[#This Row],[TEMPO]],E399),"00:00:00:000")</f>
        <v>00:00:00:00</v>
      </c>
      <c r="G400" s="1" t="str" cm="1">
        <f t="array" aca="1" ref="G400" ca="1">IF(Tabela1[[#This Row],[N°]]=D399,time_sum(Tabela1[[#This Row],[TEMPO]],E399),Tabela1[[#This Row],[TEMPO]])</f>
        <v>00:40:00:000</v>
      </c>
      <c r="H400" s="1" t="e">
        <f>VLOOKUP(C400,LARGADA!A:B,2,FALSE)</f>
        <v>#N/A</v>
      </c>
      <c r="I400" s="1" t="e">
        <f>VLOOKUP(C400,CHEGADA!A:B,2,FALSE)</f>
        <v>#N/A</v>
      </c>
    </row>
    <row r="401" spans="4:9">
      <c r="D401" s="2" t="str">
        <f>IFERROR(LEFT(Tabela1[[#This Row],[N°S]],LEN(Tabela1[[#This Row],[N°S]])-1),"")</f>
        <v/>
      </c>
      <c r="E401" s="1" t="str" cm="1">
        <f t="array" ref="E401">IFERROR(time_diff_cor(Tabela1[[#This Row],[Largada]],Tabela1[[#This Row],[Chegada]]),"00:20:00:000")</f>
        <v>00:20:00:000</v>
      </c>
      <c r="F401" s="1" t="str" cm="1">
        <f t="array" ref="F401">IFERROR(time_diff(Tabela1[[#This Row],[TEMPO]],E400),"00:00:00:000")</f>
        <v>00:00:00:00</v>
      </c>
      <c r="G401" s="1" t="str" cm="1">
        <f t="array" aca="1" ref="G401" ca="1">IF(Tabela1[[#This Row],[N°]]=D400,time_sum(Tabela1[[#This Row],[TEMPO]],E400),Tabela1[[#This Row],[TEMPO]])</f>
        <v>00:40:00:000</v>
      </c>
      <c r="H401" s="1" t="e">
        <f>VLOOKUP(C401,LARGADA!A:B,2,FALSE)</f>
        <v>#N/A</v>
      </c>
      <c r="I401" s="1" t="e">
        <f>VLOOKUP(C401,CHEGADA!A:B,2,FALSE)</f>
        <v>#N/A</v>
      </c>
    </row>
    <row r="402" spans="4:9">
      <c r="D402" s="2" t="str">
        <f>IFERROR(LEFT(Tabela1[[#This Row],[N°S]],LEN(Tabela1[[#This Row],[N°S]])-1),"")</f>
        <v/>
      </c>
      <c r="E402" s="1" t="str" cm="1">
        <f t="array" ref="E402">IFERROR(time_diff_cor(Tabela1[[#This Row],[Largada]],Tabela1[[#This Row],[Chegada]]),"00:20:00:000")</f>
        <v>00:20:00:000</v>
      </c>
      <c r="F402" s="1" t="str" cm="1">
        <f t="array" ref="F402">IFERROR(time_diff(Tabela1[[#This Row],[TEMPO]],E401),"00:00:00:000")</f>
        <v>00:00:00:00</v>
      </c>
      <c r="G402" s="1" t="str" cm="1">
        <f t="array" aca="1" ref="G402" ca="1">IF(Tabela1[[#This Row],[N°]]=D401,time_sum(Tabela1[[#This Row],[TEMPO]],E401),Tabela1[[#This Row],[TEMPO]])</f>
        <v>00:40:00:000</v>
      </c>
      <c r="H402" s="1" t="e">
        <f>VLOOKUP(C402,LARGADA!A:B,2,FALSE)</f>
        <v>#N/A</v>
      </c>
      <c r="I402" s="1" t="e">
        <f>VLOOKUP(C402,CHEGADA!A:B,2,FALSE)</f>
        <v>#N/A</v>
      </c>
    </row>
    <row r="403" spans="4:9">
      <c r="D403" s="2" t="str">
        <f>IFERROR(LEFT(Tabela1[[#This Row],[N°S]],LEN(Tabela1[[#This Row],[N°S]])-1),"")</f>
        <v/>
      </c>
      <c r="E403" s="1" t="str" cm="1">
        <f t="array" ref="E403">IFERROR(time_diff_cor(Tabela1[[#This Row],[Largada]],Tabela1[[#This Row],[Chegada]]),"00:20:00:000")</f>
        <v>00:20:00:000</v>
      </c>
      <c r="F403" s="1" t="str" cm="1">
        <f t="array" ref="F403">IFERROR(time_diff(Tabela1[[#This Row],[TEMPO]],E402),"00:00:00:000")</f>
        <v>00:00:00:00</v>
      </c>
      <c r="G403" s="1" t="str" cm="1">
        <f t="array" aca="1" ref="G403" ca="1">IF(Tabela1[[#This Row],[N°]]=D402,time_sum(Tabela1[[#This Row],[TEMPO]],E402),Tabela1[[#This Row],[TEMPO]])</f>
        <v>00:40:00:000</v>
      </c>
      <c r="H403" s="1" t="e">
        <f>VLOOKUP(C403,LARGADA!A:B,2,FALSE)</f>
        <v>#N/A</v>
      </c>
      <c r="I403" s="1" t="e">
        <f>VLOOKUP(C403,CHEGADA!A:B,2,FALSE)</f>
        <v>#N/A</v>
      </c>
    </row>
    <row r="404" spans="4:9">
      <c r="D404" s="2" t="str">
        <f>IFERROR(LEFT(Tabela1[[#This Row],[N°S]],LEN(Tabela1[[#This Row],[N°S]])-1),"")</f>
        <v/>
      </c>
      <c r="E404" s="1" t="str" cm="1">
        <f t="array" ref="E404">IFERROR(time_diff_cor(Tabela1[[#This Row],[Largada]],Tabela1[[#This Row],[Chegada]]),"00:20:00:000")</f>
        <v>00:20:00:000</v>
      </c>
      <c r="F404" s="1" t="str" cm="1">
        <f t="array" ref="F404">IFERROR(time_diff(Tabela1[[#This Row],[TEMPO]],E403),"00:00:00:000")</f>
        <v>00:00:00:00</v>
      </c>
      <c r="G404" s="1" t="str" cm="1">
        <f t="array" aca="1" ref="G404" ca="1">IF(Tabela1[[#This Row],[N°]]=D403,time_sum(Tabela1[[#This Row],[TEMPO]],E403),Tabela1[[#This Row],[TEMPO]])</f>
        <v>00:40:00:000</v>
      </c>
      <c r="H404" s="1" t="e">
        <f>VLOOKUP(C404,LARGADA!A:B,2,FALSE)</f>
        <v>#N/A</v>
      </c>
      <c r="I404" s="1" t="e">
        <f>VLOOKUP(C404,CHEGADA!A:B,2,FALSE)</f>
        <v>#N/A</v>
      </c>
    </row>
    <row r="405" spans="4:9">
      <c r="D405" s="2" t="str">
        <f>IFERROR(LEFT(Tabela1[[#This Row],[N°S]],LEN(Tabela1[[#This Row],[N°S]])-1),"")</f>
        <v/>
      </c>
      <c r="E405" s="1" t="str" cm="1">
        <f t="array" ref="E405">IFERROR(time_diff_cor(Tabela1[[#This Row],[Largada]],Tabela1[[#This Row],[Chegada]]),"00:20:00:000")</f>
        <v>00:20:00:000</v>
      </c>
      <c r="F405" s="1" t="str" cm="1">
        <f t="array" ref="F405">IFERROR(time_diff(Tabela1[[#This Row],[TEMPO]],E404),"00:00:00:000")</f>
        <v>00:00:00:00</v>
      </c>
      <c r="G405" s="1" t="str" cm="1">
        <f t="array" aca="1" ref="G405" ca="1">IF(Tabela1[[#This Row],[N°]]=D404,time_sum(Tabela1[[#This Row],[TEMPO]],E404),Tabela1[[#This Row],[TEMPO]])</f>
        <v>00:40:00:000</v>
      </c>
      <c r="H405" s="1" t="e">
        <f>VLOOKUP(C405,LARGADA!A:B,2,FALSE)</f>
        <v>#N/A</v>
      </c>
      <c r="I405" s="1" t="e">
        <f>VLOOKUP(C405,CHEGADA!A:B,2,FALSE)</f>
        <v>#N/A</v>
      </c>
    </row>
    <row r="406" spans="4:9">
      <c r="D406" s="2" t="str">
        <f>IFERROR(LEFT(Tabela1[[#This Row],[N°S]],LEN(Tabela1[[#This Row],[N°S]])-1),"")</f>
        <v/>
      </c>
      <c r="E406" s="1" t="str" cm="1">
        <f t="array" ref="E406">IFERROR(time_diff_cor(Tabela1[[#This Row],[Largada]],Tabela1[[#This Row],[Chegada]]),"00:20:00:000")</f>
        <v>00:20:00:000</v>
      </c>
      <c r="F406" s="1" t="str" cm="1">
        <f t="array" ref="F406">IFERROR(time_diff(Tabela1[[#This Row],[TEMPO]],E405),"00:00:00:000")</f>
        <v>00:00:00:00</v>
      </c>
      <c r="G406" s="1" t="str" cm="1">
        <f t="array" aca="1" ref="G406" ca="1">IF(Tabela1[[#This Row],[N°]]=D405,time_sum(Tabela1[[#This Row],[TEMPO]],E405),Tabela1[[#This Row],[TEMPO]])</f>
        <v>00:40:00:000</v>
      </c>
      <c r="H406" s="1" t="e">
        <f>VLOOKUP(C406,LARGADA!A:B,2,FALSE)</f>
        <v>#N/A</v>
      </c>
      <c r="I406" s="1" t="e">
        <f>VLOOKUP(C406,CHEGADA!A:B,2,FALSE)</f>
        <v>#N/A</v>
      </c>
    </row>
    <row r="407" spans="4:9">
      <c r="D407" s="2" t="str">
        <f>IFERROR(LEFT(Tabela1[[#This Row],[N°S]],LEN(Tabela1[[#This Row],[N°S]])-1),"")</f>
        <v/>
      </c>
      <c r="E407" s="1" t="str" cm="1">
        <f t="array" ref="E407">IFERROR(time_diff_cor(Tabela1[[#This Row],[Largada]],Tabela1[[#This Row],[Chegada]]),"00:20:00:000")</f>
        <v>00:20:00:000</v>
      </c>
      <c r="F407" s="1" t="str" cm="1">
        <f t="array" ref="F407">IFERROR(time_diff(Tabela1[[#This Row],[TEMPO]],E406),"00:00:00:000")</f>
        <v>00:00:00:00</v>
      </c>
      <c r="G407" s="1" t="str" cm="1">
        <f t="array" aca="1" ref="G407" ca="1">IF(Tabela1[[#This Row],[N°]]=D406,time_sum(Tabela1[[#This Row],[TEMPO]],E406),Tabela1[[#This Row],[TEMPO]])</f>
        <v>00:40:00:000</v>
      </c>
      <c r="H407" s="1" t="e">
        <f>VLOOKUP(C407,LARGADA!A:B,2,FALSE)</f>
        <v>#N/A</v>
      </c>
      <c r="I407" s="1" t="e">
        <f>VLOOKUP(C407,CHEGADA!A:B,2,FALSE)</f>
        <v>#N/A</v>
      </c>
    </row>
    <row r="408" spans="4:9">
      <c r="D408" s="2" t="str">
        <f>IFERROR(LEFT(Tabela1[[#This Row],[N°S]],LEN(Tabela1[[#This Row],[N°S]])-1),"")</f>
        <v/>
      </c>
      <c r="E408" s="1" t="str" cm="1">
        <f t="array" ref="E408">IFERROR(time_diff_cor(Tabela1[[#This Row],[Largada]],Tabela1[[#This Row],[Chegada]]),"00:20:00:000")</f>
        <v>00:20:00:000</v>
      </c>
      <c r="F408" s="1" t="str" cm="1">
        <f t="array" ref="F408">IFERROR(time_diff(Tabela1[[#This Row],[TEMPO]],E407),"00:00:00:000")</f>
        <v>00:00:00:00</v>
      </c>
      <c r="G408" s="1" t="str" cm="1">
        <f t="array" aca="1" ref="G408" ca="1">IF(Tabela1[[#This Row],[N°]]=D407,time_sum(Tabela1[[#This Row],[TEMPO]],E407),Tabela1[[#This Row],[TEMPO]])</f>
        <v>00:40:00:000</v>
      </c>
      <c r="H408" s="1" t="e">
        <f>VLOOKUP(C408,LARGADA!A:B,2,FALSE)</f>
        <v>#N/A</v>
      </c>
      <c r="I408" s="1" t="e">
        <f>VLOOKUP(C408,CHEGADA!A:B,2,FALSE)</f>
        <v>#N/A</v>
      </c>
    </row>
    <row r="409" spans="4:9">
      <c r="D409" s="2" t="str">
        <f>IFERROR(LEFT(Tabela1[[#This Row],[N°S]],LEN(Tabela1[[#This Row],[N°S]])-1),"")</f>
        <v/>
      </c>
      <c r="E409" s="1" t="str" cm="1">
        <f t="array" ref="E409">IFERROR(time_diff_cor(Tabela1[[#This Row],[Largada]],Tabela1[[#This Row],[Chegada]]),"00:20:00:000")</f>
        <v>00:20:00:000</v>
      </c>
      <c r="F409" s="1" t="str" cm="1">
        <f t="array" ref="F409">IFERROR(time_diff(Tabela1[[#This Row],[TEMPO]],E408),"00:00:00:000")</f>
        <v>00:00:00:00</v>
      </c>
      <c r="G409" s="1" t="str" cm="1">
        <f t="array" aca="1" ref="G409" ca="1">IF(Tabela1[[#This Row],[N°]]=D408,time_sum(Tabela1[[#This Row],[TEMPO]],E408),Tabela1[[#This Row],[TEMPO]])</f>
        <v>00:40:00:000</v>
      </c>
      <c r="H409" s="1" t="e">
        <f>VLOOKUP(C409,LARGADA!A:B,2,FALSE)</f>
        <v>#N/A</v>
      </c>
      <c r="I409" s="1" t="e">
        <f>VLOOKUP(C409,CHEGADA!A:B,2,FALSE)</f>
        <v>#N/A</v>
      </c>
    </row>
    <row r="410" spans="4:9">
      <c r="D410" s="2" t="str">
        <f>IFERROR(LEFT(Tabela1[[#This Row],[N°S]],LEN(Tabela1[[#This Row],[N°S]])-1),"")</f>
        <v/>
      </c>
      <c r="E410" s="1" t="str" cm="1">
        <f t="array" ref="E410">IFERROR(time_diff_cor(Tabela1[[#This Row],[Largada]],Tabela1[[#This Row],[Chegada]]),"00:20:00:000")</f>
        <v>00:20:00:000</v>
      </c>
      <c r="F410" s="1" t="str" cm="1">
        <f t="array" ref="F410">IFERROR(time_diff(Tabela1[[#This Row],[TEMPO]],E409),"00:00:00:000")</f>
        <v>00:00:00:00</v>
      </c>
      <c r="G410" s="1" t="str" cm="1">
        <f t="array" aca="1" ref="G410" ca="1">IF(Tabela1[[#This Row],[N°]]=D409,time_sum(Tabela1[[#This Row],[TEMPO]],E409),Tabela1[[#This Row],[TEMPO]])</f>
        <v>00:40:00:000</v>
      </c>
      <c r="H410" s="1" t="e">
        <f>VLOOKUP(C410,LARGADA!A:B,2,FALSE)</f>
        <v>#N/A</v>
      </c>
      <c r="I410" s="1" t="e">
        <f>VLOOKUP(C410,CHEGADA!A:B,2,FALSE)</f>
        <v>#N/A</v>
      </c>
    </row>
    <row r="411" spans="4:9">
      <c r="D411" s="2" t="str">
        <f>IFERROR(LEFT(Tabela1[[#This Row],[N°S]],LEN(Tabela1[[#This Row],[N°S]])-1),"")</f>
        <v/>
      </c>
      <c r="E411" s="1" t="str" cm="1">
        <f t="array" ref="E411">IFERROR(time_diff_cor(Tabela1[[#This Row],[Largada]],Tabela1[[#This Row],[Chegada]]),"00:20:00:000")</f>
        <v>00:20:00:000</v>
      </c>
      <c r="F411" s="1" t="str" cm="1">
        <f t="array" ref="F411">IFERROR(time_diff(Tabela1[[#This Row],[TEMPO]],E410),"00:00:00:000")</f>
        <v>00:00:00:00</v>
      </c>
      <c r="G411" s="1" t="str" cm="1">
        <f t="array" aca="1" ref="G411" ca="1">IF(Tabela1[[#This Row],[N°]]=D410,time_sum(Tabela1[[#This Row],[TEMPO]],E410),Tabela1[[#This Row],[TEMPO]])</f>
        <v>00:40:00:000</v>
      </c>
      <c r="H411" s="1" t="e">
        <f>VLOOKUP(C411,LARGADA!A:B,2,FALSE)</f>
        <v>#N/A</v>
      </c>
      <c r="I411" s="1" t="e">
        <f>VLOOKUP(C411,CHEGADA!A:B,2,FALSE)</f>
        <v>#N/A</v>
      </c>
    </row>
    <row r="412" spans="4:9">
      <c r="D412" s="2" t="str">
        <f>IFERROR(LEFT(Tabela1[[#This Row],[N°S]],LEN(Tabela1[[#This Row],[N°S]])-1),"")</f>
        <v/>
      </c>
      <c r="E412" s="1" t="str" cm="1">
        <f t="array" ref="E412">IFERROR(time_diff_cor(Tabela1[[#This Row],[Largada]],Tabela1[[#This Row],[Chegada]]),"00:20:00:000")</f>
        <v>00:20:00:000</v>
      </c>
      <c r="F412" s="1" t="str" cm="1">
        <f t="array" ref="F412">IFERROR(time_diff(Tabela1[[#This Row],[TEMPO]],E411),"00:00:00:000")</f>
        <v>00:00:00:00</v>
      </c>
      <c r="G412" s="1" t="str" cm="1">
        <f t="array" aca="1" ref="G412" ca="1">IF(Tabela1[[#This Row],[N°]]=D411,time_sum(Tabela1[[#This Row],[TEMPO]],E411),Tabela1[[#This Row],[TEMPO]])</f>
        <v>00:40:00:000</v>
      </c>
      <c r="H412" s="1" t="e">
        <f>VLOOKUP(C412,LARGADA!A:B,2,FALSE)</f>
        <v>#N/A</v>
      </c>
      <c r="I412" s="1" t="e">
        <f>VLOOKUP(C412,CHEGADA!A:B,2,FALSE)</f>
        <v>#N/A</v>
      </c>
    </row>
    <row r="413" spans="4:9">
      <c r="D413" s="2" t="str">
        <f>IFERROR(LEFT(Tabela1[[#This Row],[N°S]],LEN(Tabela1[[#This Row],[N°S]])-1),"")</f>
        <v/>
      </c>
      <c r="E413" s="1" t="str" cm="1">
        <f t="array" ref="E413">IFERROR(time_diff_cor(Tabela1[[#This Row],[Largada]],Tabela1[[#This Row],[Chegada]]),"00:20:00:000")</f>
        <v>00:20:00:000</v>
      </c>
      <c r="F413" s="1" t="str" cm="1">
        <f t="array" ref="F413">IFERROR(time_diff(Tabela1[[#This Row],[TEMPO]],E412),"00:00:00:000")</f>
        <v>00:00:00:00</v>
      </c>
      <c r="G413" s="1" t="str" cm="1">
        <f t="array" aca="1" ref="G413" ca="1">IF(Tabela1[[#This Row],[N°]]=D412,time_sum(Tabela1[[#This Row],[TEMPO]],E412),Tabela1[[#This Row],[TEMPO]])</f>
        <v>00:40:00:000</v>
      </c>
      <c r="H413" s="1" t="e">
        <f>VLOOKUP(C413,LARGADA!A:B,2,FALSE)</f>
        <v>#N/A</v>
      </c>
      <c r="I413" s="1" t="e">
        <f>VLOOKUP(C413,CHEGADA!A:B,2,FALSE)</f>
        <v>#N/A</v>
      </c>
    </row>
    <row r="414" spans="4:9">
      <c r="D414" s="2" t="str">
        <f>IFERROR(LEFT(Tabela1[[#This Row],[N°S]],LEN(Tabela1[[#This Row],[N°S]])-1),"")</f>
        <v/>
      </c>
      <c r="E414" s="1" t="str" cm="1">
        <f t="array" ref="E414">IFERROR(time_diff_cor(Tabela1[[#This Row],[Largada]],Tabela1[[#This Row],[Chegada]]),"00:20:00:000")</f>
        <v>00:20:00:000</v>
      </c>
      <c r="F414" s="1" t="str" cm="1">
        <f t="array" ref="F414">IFERROR(time_diff(Tabela1[[#This Row],[TEMPO]],E413),"00:00:00:000")</f>
        <v>00:00:00:00</v>
      </c>
      <c r="G414" s="1" t="str" cm="1">
        <f t="array" aca="1" ref="G414" ca="1">IF(Tabela1[[#This Row],[N°]]=D413,time_sum(Tabela1[[#This Row],[TEMPO]],E413),Tabela1[[#This Row],[TEMPO]])</f>
        <v>00:40:00:000</v>
      </c>
      <c r="H414" s="1" t="e">
        <f>VLOOKUP(C414,LARGADA!A:B,2,FALSE)</f>
        <v>#N/A</v>
      </c>
      <c r="I414" s="1" t="e">
        <f>VLOOKUP(C414,CHEGADA!A:B,2,FALSE)</f>
        <v>#N/A</v>
      </c>
    </row>
    <row r="415" spans="4:9">
      <c r="D415" s="2" t="str">
        <f>IFERROR(LEFT(Tabela1[[#This Row],[N°S]],LEN(Tabela1[[#This Row],[N°S]])-1),"")</f>
        <v/>
      </c>
      <c r="E415" s="1" t="str" cm="1">
        <f t="array" ref="E415">IFERROR(time_diff_cor(Tabela1[[#This Row],[Largada]],Tabela1[[#This Row],[Chegada]]),"00:20:00:000")</f>
        <v>00:20:00:000</v>
      </c>
      <c r="F415" s="1" t="str" cm="1">
        <f t="array" ref="F415">IFERROR(time_diff(Tabela1[[#This Row],[TEMPO]],E414),"00:00:00:000")</f>
        <v>00:00:00:00</v>
      </c>
      <c r="G415" s="1" t="str" cm="1">
        <f t="array" aca="1" ref="G415" ca="1">IF(Tabela1[[#This Row],[N°]]=D414,time_sum(Tabela1[[#This Row],[TEMPO]],E414),Tabela1[[#This Row],[TEMPO]])</f>
        <v>00:40:00:000</v>
      </c>
      <c r="H415" s="1" t="e">
        <f>VLOOKUP(C415,LARGADA!A:B,2,FALSE)</f>
        <v>#N/A</v>
      </c>
      <c r="I415" s="1" t="e">
        <f>VLOOKUP(C415,CHEGADA!A:B,2,FALSE)</f>
        <v>#N/A</v>
      </c>
    </row>
    <row r="416" spans="4:9">
      <c r="D416" s="2" t="str">
        <f>IFERROR(LEFT(Tabela1[[#This Row],[N°S]],LEN(Tabela1[[#This Row],[N°S]])-1),"")</f>
        <v/>
      </c>
      <c r="E416" s="1" t="str" cm="1">
        <f t="array" ref="E416">IFERROR(time_diff_cor(Tabela1[[#This Row],[Largada]],Tabela1[[#This Row],[Chegada]]),"00:20:00:000")</f>
        <v>00:20:00:000</v>
      </c>
      <c r="F416" s="1" t="str" cm="1">
        <f t="array" ref="F416">IFERROR(time_diff(Tabela1[[#This Row],[TEMPO]],E415),"00:00:00:000")</f>
        <v>00:00:00:00</v>
      </c>
      <c r="G416" s="1" t="str" cm="1">
        <f t="array" aca="1" ref="G416" ca="1">IF(Tabela1[[#This Row],[N°]]=D415,time_sum(Tabela1[[#This Row],[TEMPO]],E415),Tabela1[[#This Row],[TEMPO]])</f>
        <v>00:40:00:000</v>
      </c>
      <c r="H416" s="1" t="e">
        <f>VLOOKUP(C416,LARGADA!A:B,2,FALSE)</f>
        <v>#N/A</v>
      </c>
      <c r="I416" s="1" t="e">
        <f>VLOOKUP(C416,CHEGADA!A:B,2,FALSE)</f>
        <v>#N/A</v>
      </c>
    </row>
    <row r="417" spans="4:9">
      <c r="D417" s="2" t="str">
        <f>IFERROR(LEFT(Tabela1[[#This Row],[N°S]],LEN(Tabela1[[#This Row],[N°S]])-1),"")</f>
        <v/>
      </c>
      <c r="E417" s="1" t="str" cm="1">
        <f t="array" ref="E417">IFERROR(time_diff_cor(Tabela1[[#This Row],[Largada]],Tabela1[[#This Row],[Chegada]]),"00:20:00:000")</f>
        <v>00:20:00:000</v>
      </c>
      <c r="F417" s="1" t="str" cm="1">
        <f t="array" ref="F417">IFERROR(time_diff(Tabela1[[#This Row],[TEMPO]],E416),"00:00:00:000")</f>
        <v>00:00:00:00</v>
      </c>
      <c r="G417" s="1" t="str" cm="1">
        <f t="array" aca="1" ref="G417" ca="1">IF(Tabela1[[#This Row],[N°]]=D416,time_sum(Tabela1[[#This Row],[TEMPO]],E416),Tabela1[[#This Row],[TEMPO]])</f>
        <v>00:40:00:000</v>
      </c>
      <c r="H417" s="1" t="e">
        <f>VLOOKUP(C417,LARGADA!A:B,2,FALSE)</f>
        <v>#N/A</v>
      </c>
      <c r="I417" s="1" t="e">
        <f>VLOOKUP(C417,CHEGADA!A:B,2,FALSE)</f>
        <v>#N/A</v>
      </c>
    </row>
    <row r="418" spans="4:9">
      <c r="D418" s="2" t="str">
        <f>IFERROR(LEFT(Tabela1[[#This Row],[N°S]],LEN(Tabela1[[#This Row],[N°S]])-1),"")</f>
        <v/>
      </c>
      <c r="E418" s="1" t="str" cm="1">
        <f t="array" ref="E418">IFERROR(time_diff_cor(Tabela1[[#This Row],[Largada]],Tabela1[[#This Row],[Chegada]]),"00:20:00:000")</f>
        <v>00:20:00:000</v>
      </c>
      <c r="F418" s="1" t="str" cm="1">
        <f t="array" ref="F418">IFERROR(time_diff(Tabela1[[#This Row],[TEMPO]],E417),"00:00:00:000")</f>
        <v>00:00:00:00</v>
      </c>
      <c r="G418" s="1" t="str" cm="1">
        <f t="array" aca="1" ref="G418" ca="1">IF(Tabela1[[#This Row],[N°]]=D417,time_sum(Tabela1[[#This Row],[TEMPO]],E417),Tabela1[[#This Row],[TEMPO]])</f>
        <v>00:40:00:000</v>
      </c>
      <c r="H418" s="1" t="e">
        <f>VLOOKUP(C418,LARGADA!A:B,2,FALSE)</f>
        <v>#N/A</v>
      </c>
      <c r="I418" s="1" t="e">
        <f>VLOOKUP(C418,CHEGADA!A:B,2,FALSE)</f>
        <v>#N/A</v>
      </c>
    </row>
    <row r="419" spans="4:9">
      <c r="D419" s="2" t="str">
        <f>IFERROR(LEFT(Tabela1[[#This Row],[N°S]],LEN(Tabela1[[#This Row],[N°S]])-1),"")</f>
        <v/>
      </c>
      <c r="E419" s="1" t="str" cm="1">
        <f t="array" ref="E419">IFERROR(time_diff_cor(Tabela1[[#This Row],[Largada]],Tabela1[[#This Row],[Chegada]]),"00:20:00:000")</f>
        <v>00:20:00:000</v>
      </c>
      <c r="F419" s="1" t="str" cm="1">
        <f t="array" ref="F419">IFERROR(time_diff(Tabela1[[#This Row],[TEMPO]],E418),"00:00:00:000")</f>
        <v>00:00:00:00</v>
      </c>
      <c r="G419" s="1" t="str" cm="1">
        <f t="array" aca="1" ref="G419" ca="1">IF(Tabela1[[#This Row],[N°]]=D418,time_sum(Tabela1[[#This Row],[TEMPO]],E418),Tabela1[[#This Row],[TEMPO]])</f>
        <v>00:40:00:000</v>
      </c>
      <c r="H419" s="1" t="e">
        <f>VLOOKUP(C419,LARGADA!A:B,2,FALSE)</f>
        <v>#N/A</v>
      </c>
      <c r="I419" s="1" t="e">
        <f>VLOOKUP(C419,CHEGADA!A:B,2,FALSE)</f>
        <v>#N/A</v>
      </c>
    </row>
    <row r="420" spans="4:9">
      <c r="D420" s="2" t="str">
        <f>IFERROR(LEFT(Tabela1[[#This Row],[N°S]],LEN(Tabela1[[#This Row],[N°S]])-1),"")</f>
        <v/>
      </c>
      <c r="E420" s="1" t="str" cm="1">
        <f t="array" ref="E420">IFERROR(time_diff_cor(Tabela1[[#This Row],[Largada]],Tabela1[[#This Row],[Chegada]]),"00:20:00:000")</f>
        <v>00:20:00:000</v>
      </c>
      <c r="F420" s="1" t="str" cm="1">
        <f t="array" ref="F420">IFERROR(time_diff(Tabela1[[#This Row],[TEMPO]],E419),"00:00:00:000")</f>
        <v>00:00:00:00</v>
      </c>
      <c r="G420" s="1" t="str" cm="1">
        <f t="array" aca="1" ref="G420" ca="1">IF(Tabela1[[#This Row],[N°]]=D419,time_sum(Tabela1[[#This Row],[TEMPO]],E419),Tabela1[[#This Row],[TEMPO]])</f>
        <v>00:40:00:000</v>
      </c>
      <c r="H420" s="1" t="e">
        <f>VLOOKUP(C420,LARGADA!A:B,2,FALSE)</f>
        <v>#N/A</v>
      </c>
      <c r="I420" s="1" t="e">
        <f>VLOOKUP(C420,CHEGADA!A:B,2,FALSE)</f>
        <v>#N/A</v>
      </c>
    </row>
    <row r="421" spans="4:9">
      <c r="D421" s="2" t="str">
        <f>IFERROR(LEFT(Tabela1[[#This Row],[N°S]],LEN(Tabela1[[#This Row],[N°S]])-1),"")</f>
        <v/>
      </c>
      <c r="E421" s="1" t="str" cm="1">
        <f t="array" ref="E421">IFERROR(time_diff_cor(Tabela1[[#This Row],[Largada]],Tabela1[[#This Row],[Chegada]]),"00:20:00:000")</f>
        <v>00:20:00:000</v>
      </c>
      <c r="F421" s="1" t="str" cm="1">
        <f t="array" ref="F421">IFERROR(time_diff(Tabela1[[#This Row],[TEMPO]],E420),"00:00:00:000")</f>
        <v>00:00:00:00</v>
      </c>
      <c r="G421" s="1" t="str" cm="1">
        <f t="array" aca="1" ref="G421" ca="1">IF(Tabela1[[#This Row],[N°]]=D420,time_sum(Tabela1[[#This Row],[TEMPO]],E420),Tabela1[[#This Row],[TEMPO]])</f>
        <v>00:40:00:000</v>
      </c>
      <c r="H421" s="1" t="e">
        <f>VLOOKUP(C421,LARGADA!A:B,2,FALSE)</f>
        <v>#N/A</v>
      </c>
      <c r="I421" s="1" t="e">
        <f>VLOOKUP(C421,CHEGADA!A:B,2,FALSE)</f>
        <v>#N/A</v>
      </c>
    </row>
    <row r="422" spans="4:9">
      <c r="D422" s="2" t="str">
        <f>IFERROR(LEFT(Tabela1[[#This Row],[N°S]],LEN(Tabela1[[#This Row],[N°S]])-1),"")</f>
        <v/>
      </c>
      <c r="E422" s="1" t="str" cm="1">
        <f t="array" ref="E422">IFERROR(time_diff_cor(Tabela1[[#This Row],[Largada]],Tabela1[[#This Row],[Chegada]]),"00:20:00:000")</f>
        <v>00:20:00:000</v>
      </c>
      <c r="F422" s="1" t="str" cm="1">
        <f t="array" ref="F422">IFERROR(time_diff(Tabela1[[#This Row],[TEMPO]],E421),"00:00:00:000")</f>
        <v>00:00:00:00</v>
      </c>
      <c r="G422" s="1" t="str" cm="1">
        <f t="array" aca="1" ref="G422" ca="1">IF(Tabela1[[#This Row],[N°]]=D421,time_sum(Tabela1[[#This Row],[TEMPO]],E421),Tabela1[[#This Row],[TEMPO]])</f>
        <v>00:40:00:000</v>
      </c>
      <c r="H422" s="1" t="e">
        <f>VLOOKUP(C422,LARGADA!A:B,2,FALSE)</f>
        <v>#N/A</v>
      </c>
      <c r="I422" s="1" t="e">
        <f>VLOOKUP(C422,CHEGADA!A:B,2,FALSE)</f>
        <v>#N/A</v>
      </c>
    </row>
    <row r="423" spans="4:9">
      <c r="D423" s="2" t="str">
        <f>IFERROR(LEFT(Tabela1[[#This Row],[N°S]],LEN(Tabela1[[#This Row],[N°S]])-1),"")</f>
        <v/>
      </c>
      <c r="E423" s="1" t="str" cm="1">
        <f t="array" ref="E423">IFERROR(time_diff_cor(Tabela1[[#This Row],[Largada]],Tabela1[[#This Row],[Chegada]]),"00:20:00:000")</f>
        <v>00:20:00:000</v>
      </c>
      <c r="F423" s="1" t="str" cm="1">
        <f t="array" ref="F423">IFERROR(time_diff(Tabela1[[#This Row],[TEMPO]],E422),"00:00:00:000")</f>
        <v>00:00:00:00</v>
      </c>
      <c r="G423" s="1" t="str" cm="1">
        <f t="array" aca="1" ref="G423" ca="1">IF(Tabela1[[#This Row],[N°]]=D422,time_sum(Tabela1[[#This Row],[TEMPO]],E422),Tabela1[[#This Row],[TEMPO]])</f>
        <v>00:40:00:000</v>
      </c>
      <c r="H423" s="1" t="e">
        <f>VLOOKUP(C423,LARGADA!A:B,2,FALSE)</f>
        <v>#N/A</v>
      </c>
      <c r="I423" s="1" t="e">
        <f>VLOOKUP(C423,CHEGADA!A:B,2,FALSE)</f>
        <v>#N/A</v>
      </c>
    </row>
    <row r="424" spans="4:9">
      <c r="D424" s="2" t="str">
        <f>IFERROR(LEFT(Tabela1[[#This Row],[N°S]],LEN(Tabela1[[#This Row],[N°S]])-1),"")</f>
        <v/>
      </c>
      <c r="E424" s="1" t="str" cm="1">
        <f t="array" ref="E424">IFERROR(time_diff_cor(Tabela1[[#This Row],[Largada]],Tabela1[[#This Row],[Chegada]]),"00:20:00:000")</f>
        <v>00:20:00:000</v>
      </c>
      <c r="F424" s="1" t="str" cm="1">
        <f t="array" ref="F424">IFERROR(time_diff(Tabela1[[#This Row],[TEMPO]],E423),"00:00:00:000")</f>
        <v>00:00:00:00</v>
      </c>
      <c r="G424" s="1" t="str" cm="1">
        <f t="array" aca="1" ref="G424" ca="1">IF(Tabela1[[#This Row],[N°]]=D423,time_sum(Tabela1[[#This Row],[TEMPO]],E423),Tabela1[[#This Row],[TEMPO]])</f>
        <v>00:40:00:000</v>
      </c>
      <c r="H424" s="1" t="e">
        <f>VLOOKUP(C424,LARGADA!A:B,2,FALSE)</f>
        <v>#N/A</v>
      </c>
      <c r="I424" s="1" t="e">
        <f>VLOOKUP(C424,CHEGADA!A:B,2,FALSE)</f>
        <v>#N/A</v>
      </c>
    </row>
    <row r="425" spans="4:9">
      <c r="D425" s="2" t="str">
        <f>IFERROR(LEFT(Tabela1[[#This Row],[N°S]],LEN(Tabela1[[#This Row],[N°S]])-1),"")</f>
        <v/>
      </c>
      <c r="E425" s="1" t="str" cm="1">
        <f t="array" ref="E425">IFERROR(time_diff_cor(Tabela1[[#This Row],[Largada]],Tabela1[[#This Row],[Chegada]]),"00:20:00:000")</f>
        <v>00:20:00:000</v>
      </c>
      <c r="F425" s="1" t="str" cm="1">
        <f t="array" ref="F425">IFERROR(time_diff(Tabela1[[#This Row],[TEMPO]],E424),"00:00:00:000")</f>
        <v>00:00:00:00</v>
      </c>
      <c r="G425" s="1" t="str" cm="1">
        <f t="array" aca="1" ref="G425" ca="1">IF(Tabela1[[#This Row],[N°]]=D424,time_sum(Tabela1[[#This Row],[TEMPO]],E424),Tabela1[[#This Row],[TEMPO]])</f>
        <v>00:40:00:000</v>
      </c>
      <c r="H425" s="1" t="e">
        <f>VLOOKUP(C425,LARGADA!A:B,2,FALSE)</f>
        <v>#N/A</v>
      </c>
      <c r="I425" s="1" t="e">
        <f>VLOOKUP(C425,CHEGADA!A:B,2,FALSE)</f>
        <v>#N/A</v>
      </c>
    </row>
    <row r="426" spans="4:9">
      <c r="D426" s="2" t="str">
        <f>IFERROR(LEFT(Tabela1[[#This Row],[N°S]],LEN(Tabela1[[#This Row],[N°S]])-1),"")</f>
        <v/>
      </c>
      <c r="E426" s="1" t="str" cm="1">
        <f t="array" ref="E426">IFERROR(time_diff_cor(Tabela1[[#This Row],[Largada]],Tabela1[[#This Row],[Chegada]]),"00:20:00:000")</f>
        <v>00:20:00:000</v>
      </c>
      <c r="F426" s="1" t="str" cm="1">
        <f t="array" ref="F426">IFERROR(time_diff(Tabela1[[#This Row],[TEMPO]],E425),"00:00:00:000")</f>
        <v>00:00:00:00</v>
      </c>
      <c r="G426" s="1" t="str" cm="1">
        <f t="array" aca="1" ref="G426" ca="1">IF(Tabela1[[#This Row],[N°]]=D425,time_sum(Tabela1[[#This Row],[TEMPO]],E425),Tabela1[[#This Row],[TEMPO]])</f>
        <v>00:40:00:000</v>
      </c>
      <c r="H426" s="1" t="e">
        <f>VLOOKUP(C426,LARGADA!A:B,2,FALSE)</f>
        <v>#N/A</v>
      </c>
      <c r="I426" s="1" t="e">
        <f>VLOOKUP(C426,CHEGADA!A:B,2,FALSE)</f>
        <v>#N/A</v>
      </c>
    </row>
    <row r="427" spans="4:9">
      <c r="D427" s="2" t="str">
        <f>IFERROR(LEFT(Tabela1[[#This Row],[N°S]],LEN(Tabela1[[#This Row],[N°S]])-1),"")</f>
        <v/>
      </c>
      <c r="E427" s="1" t="str" cm="1">
        <f t="array" ref="E427">IFERROR(time_diff_cor(Tabela1[[#This Row],[Largada]],Tabela1[[#This Row],[Chegada]]),"00:20:00:000")</f>
        <v>00:20:00:000</v>
      </c>
      <c r="F427" s="1" t="str" cm="1">
        <f t="array" ref="F427">IFERROR(time_diff(Tabela1[[#This Row],[TEMPO]],E426),"00:00:00:000")</f>
        <v>00:00:00:00</v>
      </c>
      <c r="G427" s="1" t="str" cm="1">
        <f t="array" aca="1" ref="G427" ca="1">IF(Tabela1[[#This Row],[N°]]=D426,time_sum(Tabela1[[#This Row],[TEMPO]],E426),Tabela1[[#This Row],[TEMPO]])</f>
        <v>00:40:00:000</v>
      </c>
      <c r="H427" s="1" t="e">
        <f>VLOOKUP(C427,LARGADA!A:B,2,FALSE)</f>
        <v>#N/A</v>
      </c>
      <c r="I427" s="1" t="e">
        <f>VLOOKUP(C427,CHEGADA!A:B,2,FALSE)</f>
        <v>#N/A</v>
      </c>
    </row>
    <row r="428" spans="4:9">
      <c r="D428" s="2" t="str">
        <f>IFERROR(LEFT(Tabela1[[#This Row],[N°S]],LEN(Tabela1[[#This Row],[N°S]])-1),"")</f>
        <v/>
      </c>
      <c r="E428" s="1" t="str" cm="1">
        <f t="array" ref="E428">IFERROR(time_diff_cor(Tabela1[[#This Row],[Largada]],Tabela1[[#This Row],[Chegada]]),"00:20:00:000")</f>
        <v>00:20:00:000</v>
      </c>
      <c r="F428" s="1" t="str" cm="1">
        <f t="array" ref="F428">IFERROR(time_diff(Tabela1[[#This Row],[TEMPO]],E427),"00:00:00:000")</f>
        <v>00:00:00:00</v>
      </c>
      <c r="G428" s="1" t="str" cm="1">
        <f t="array" aca="1" ref="G428" ca="1">IF(Tabela1[[#This Row],[N°]]=D427,time_sum(Tabela1[[#This Row],[TEMPO]],E427),Tabela1[[#This Row],[TEMPO]])</f>
        <v>00:40:00:000</v>
      </c>
      <c r="H428" s="1" t="e">
        <f>VLOOKUP(C428,LARGADA!A:B,2,FALSE)</f>
        <v>#N/A</v>
      </c>
      <c r="I428" s="1" t="e">
        <f>VLOOKUP(C428,CHEGADA!A:B,2,FALSE)</f>
        <v>#N/A</v>
      </c>
    </row>
    <row r="429" spans="4:9">
      <c r="D429" s="2" t="str">
        <f>IFERROR(LEFT(Tabela1[[#This Row],[N°S]],LEN(Tabela1[[#This Row],[N°S]])-1),"")</f>
        <v/>
      </c>
      <c r="E429" s="1" t="str" cm="1">
        <f t="array" ref="E429">IFERROR(time_diff_cor(Tabela1[[#This Row],[Largada]],Tabela1[[#This Row],[Chegada]]),"00:20:00:000")</f>
        <v>00:20:00:000</v>
      </c>
      <c r="F429" s="1" t="str" cm="1">
        <f t="array" ref="F429">IFERROR(time_diff(Tabela1[[#This Row],[TEMPO]],E428),"00:00:00:000")</f>
        <v>00:00:00:00</v>
      </c>
      <c r="G429" s="1" t="str" cm="1">
        <f t="array" aca="1" ref="G429" ca="1">IF(Tabela1[[#This Row],[N°]]=D428,time_sum(Tabela1[[#This Row],[TEMPO]],E428),Tabela1[[#This Row],[TEMPO]])</f>
        <v>00:40:00:000</v>
      </c>
      <c r="H429" s="1" t="e">
        <f>VLOOKUP(C429,LARGADA!A:B,2,FALSE)</f>
        <v>#N/A</v>
      </c>
      <c r="I429" s="1" t="e">
        <f>VLOOKUP(C429,CHEGADA!A:B,2,FALSE)</f>
        <v>#N/A</v>
      </c>
    </row>
    <row r="430" spans="4:9">
      <c r="D430" s="2" t="str">
        <f>IFERROR(LEFT(Tabela1[[#This Row],[N°S]],LEN(Tabela1[[#This Row],[N°S]])-1),"")</f>
        <v/>
      </c>
      <c r="E430" s="1" t="str" cm="1">
        <f t="array" ref="E430">IFERROR(time_diff_cor(Tabela1[[#This Row],[Largada]],Tabela1[[#This Row],[Chegada]]),"00:20:00:000")</f>
        <v>00:20:00:000</v>
      </c>
      <c r="F430" s="1" t="str" cm="1">
        <f t="array" ref="F430">IFERROR(time_diff(Tabela1[[#This Row],[TEMPO]],E429),"00:00:00:000")</f>
        <v>00:00:00:00</v>
      </c>
      <c r="G430" s="1" t="str" cm="1">
        <f t="array" aca="1" ref="G430" ca="1">IF(Tabela1[[#This Row],[N°]]=D429,time_sum(Tabela1[[#This Row],[TEMPO]],E429),Tabela1[[#This Row],[TEMPO]])</f>
        <v>00:40:00:000</v>
      </c>
      <c r="H430" s="1" t="e">
        <f>VLOOKUP(C430,LARGADA!A:B,2,FALSE)</f>
        <v>#N/A</v>
      </c>
      <c r="I430" s="1" t="e">
        <f>VLOOKUP(C430,CHEGADA!A:B,2,FALSE)</f>
        <v>#N/A</v>
      </c>
    </row>
    <row r="431" spans="4:9">
      <c r="D431" s="2" t="str">
        <f>IFERROR(LEFT(Tabela1[[#This Row],[N°S]],LEN(Tabela1[[#This Row],[N°S]])-1),"")</f>
        <v/>
      </c>
      <c r="E431" s="1" t="str" cm="1">
        <f t="array" ref="E431">IFERROR(time_diff_cor(Tabela1[[#This Row],[Largada]],Tabela1[[#This Row],[Chegada]]),"00:20:00:000")</f>
        <v>00:20:00:000</v>
      </c>
      <c r="F431" s="1" t="str" cm="1">
        <f t="array" ref="F431">IFERROR(time_diff(Tabela1[[#This Row],[TEMPO]],E430),"00:00:00:000")</f>
        <v>00:00:00:00</v>
      </c>
      <c r="G431" s="1" t="str" cm="1">
        <f t="array" aca="1" ref="G431" ca="1">IF(Tabela1[[#This Row],[N°]]=D430,time_sum(Tabela1[[#This Row],[TEMPO]],E430),Tabela1[[#This Row],[TEMPO]])</f>
        <v>00:40:00:000</v>
      </c>
      <c r="H431" s="1" t="e">
        <f>VLOOKUP(C431,LARGADA!A:B,2,FALSE)</f>
        <v>#N/A</v>
      </c>
      <c r="I431" s="1" t="e">
        <f>VLOOKUP(C431,CHEGADA!A:B,2,FALSE)</f>
        <v>#N/A</v>
      </c>
    </row>
    <row r="432" spans="4:9">
      <c r="D432" s="2" t="str">
        <f>IFERROR(LEFT(Tabela1[[#This Row],[N°S]],LEN(Tabela1[[#This Row],[N°S]])-1),"")</f>
        <v/>
      </c>
      <c r="E432" s="1" t="str" cm="1">
        <f t="array" ref="E432">IFERROR(time_diff_cor(Tabela1[[#This Row],[Largada]],Tabela1[[#This Row],[Chegada]]),"00:20:00:000")</f>
        <v>00:20:00:000</v>
      </c>
      <c r="F432" s="1" t="str" cm="1">
        <f t="array" ref="F432">IFERROR(time_diff(Tabela1[[#This Row],[TEMPO]],E431),"00:00:00:000")</f>
        <v>00:00:00:00</v>
      </c>
      <c r="G432" s="1" t="str" cm="1">
        <f t="array" aca="1" ref="G432" ca="1">IF(Tabela1[[#This Row],[N°]]=D431,time_sum(Tabela1[[#This Row],[TEMPO]],E431),Tabela1[[#This Row],[TEMPO]])</f>
        <v>00:40:00:000</v>
      </c>
      <c r="H432" s="1" t="e">
        <f>VLOOKUP(C432,LARGADA!A:B,2,FALSE)</f>
        <v>#N/A</v>
      </c>
      <c r="I432" s="1" t="e">
        <f>VLOOKUP(C432,CHEGADA!A:B,2,FALSE)</f>
        <v>#N/A</v>
      </c>
    </row>
    <row r="433" spans="4:9">
      <c r="D433" s="2" t="str">
        <f>IFERROR(LEFT(Tabela1[[#This Row],[N°S]],LEN(Tabela1[[#This Row],[N°S]])-1),"")</f>
        <v/>
      </c>
      <c r="E433" s="1" t="str" cm="1">
        <f t="array" ref="E433">IFERROR(time_diff_cor(Tabela1[[#This Row],[Largada]],Tabela1[[#This Row],[Chegada]]),"00:20:00:000")</f>
        <v>00:20:00:000</v>
      </c>
      <c r="F433" s="1" t="str" cm="1">
        <f t="array" ref="F433">IFERROR(time_diff(Tabela1[[#This Row],[TEMPO]],E432),"00:00:00:000")</f>
        <v>00:00:00:00</v>
      </c>
      <c r="G433" s="1" t="str" cm="1">
        <f t="array" aca="1" ref="G433" ca="1">IF(Tabela1[[#This Row],[N°]]=D432,time_sum(Tabela1[[#This Row],[TEMPO]],E432),Tabela1[[#This Row],[TEMPO]])</f>
        <v>00:40:00:000</v>
      </c>
      <c r="H433" s="1" t="e">
        <f>VLOOKUP(C433,LARGADA!A:B,2,FALSE)</f>
        <v>#N/A</v>
      </c>
      <c r="I433" s="1" t="e">
        <f>VLOOKUP(C433,CHEGADA!A:B,2,FALSE)</f>
        <v>#N/A</v>
      </c>
    </row>
    <row r="434" spans="4:9">
      <c r="D434" s="2" t="str">
        <f>IFERROR(LEFT(Tabela1[[#This Row],[N°S]],LEN(Tabela1[[#This Row],[N°S]])-1),"")</f>
        <v/>
      </c>
      <c r="E434" s="1" t="str" cm="1">
        <f t="array" ref="E434">IFERROR(time_diff_cor(Tabela1[[#This Row],[Largada]],Tabela1[[#This Row],[Chegada]]),"00:20:00:000")</f>
        <v>00:20:00:000</v>
      </c>
      <c r="F434" s="1" t="str" cm="1">
        <f t="array" ref="F434">IFERROR(time_diff(Tabela1[[#This Row],[TEMPO]],E433),"00:00:00:000")</f>
        <v>00:00:00:00</v>
      </c>
      <c r="G434" s="1" t="str" cm="1">
        <f t="array" aca="1" ref="G434" ca="1">IF(Tabela1[[#This Row],[N°]]=D433,time_sum(Tabela1[[#This Row],[TEMPO]],E433),Tabela1[[#This Row],[TEMPO]])</f>
        <v>00:40:00:000</v>
      </c>
      <c r="H434" s="1" t="e">
        <f>VLOOKUP(C434,LARGADA!A:B,2,FALSE)</f>
        <v>#N/A</v>
      </c>
      <c r="I434" s="1" t="e">
        <f>VLOOKUP(C434,CHEGADA!A:B,2,FALSE)</f>
        <v>#N/A</v>
      </c>
    </row>
    <row r="435" spans="4:9">
      <c r="D435" s="2" t="str">
        <f>IFERROR(LEFT(Tabela1[[#This Row],[N°S]],LEN(Tabela1[[#This Row],[N°S]])-1),"")</f>
        <v/>
      </c>
      <c r="E435" s="1" t="str" cm="1">
        <f t="array" ref="E435">IFERROR(time_diff_cor(Tabela1[[#This Row],[Largada]],Tabela1[[#This Row],[Chegada]]),"00:20:00:000")</f>
        <v>00:20:00:000</v>
      </c>
      <c r="F435" s="1" t="str" cm="1">
        <f t="array" ref="F435">IFERROR(time_diff(Tabela1[[#This Row],[TEMPO]],E434),"00:00:00:000")</f>
        <v>00:00:00:00</v>
      </c>
      <c r="G435" s="1" t="str" cm="1">
        <f t="array" aca="1" ref="G435" ca="1">IF(Tabela1[[#This Row],[N°]]=D434,time_sum(Tabela1[[#This Row],[TEMPO]],E434),Tabela1[[#This Row],[TEMPO]])</f>
        <v>00:40:00:000</v>
      </c>
      <c r="H435" s="1" t="e">
        <f>VLOOKUP(C435,LARGADA!A:B,2,FALSE)</f>
        <v>#N/A</v>
      </c>
      <c r="I435" s="1" t="e">
        <f>VLOOKUP(C435,CHEGADA!A:B,2,FALSE)</f>
        <v>#N/A</v>
      </c>
    </row>
    <row r="436" spans="4:9">
      <c r="D436" s="2" t="str">
        <f>IFERROR(LEFT(Tabela1[[#This Row],[N°S]],LEN(Tabela1[[#This Row],[N°S]])-1),"")</f>
        <v/>
      </c>
      <c r="E436" s="1" t="str" cm="1">
        <f t="array" ref="E436">IFERROR(time_diff_cor(Tabela1[[#This Row],[Largada]],Tabela1[[#This Row],[Chegada]]),"00:20:00:000")</f>
        <v>00:20:00:000</v>
      </c>
      <c r="F436" s="1" t="str" cm="1">
        <f t="array" ref="F436">IFERROR(time_diff(Tabela1[[#This Row],[TEMPO]],E435),"00:00:00:000")</f>
        <v>00:00:00:00</v>
      </c>
      <c r="G436" s="1" t="str" cm="1">
        <f t="array" aca="1" ref="G436" ca="1">IF(Tabela1[[#This Row],[N°]]=D435,time_sum(Tabela1[[#This Row],[TEMPO]],E435),Tabela1[[#This Row],[TEMPO]])</f>
        <v>00:40:00:000</v>
      </c>
      <c r="H436" s="1" t="e">
        <f>VLOOKUP(C436,LARGADA!A:B,2,FALSE)</f>
        <v>#N/A</v>
      </c>
      <c r="I436" s="1" t="e">
        <f>VLOOKUP(C436,CHEGADA!A:B,2,FALSE)</f>
        <v>#N/A</v>
      </c>
    </row>
    <row r="437" spans="4:9">
      <c r="D437" s="2" t="str">
        <f>IFERROR(LEFT(Tabela1[[#This Row],[N°S]],LEN(Tabela1[[#This Row],[N°S]])-1),"")</f>
        <v/>
      </c>
      <c r="E437" s="1" t="str" cm="1">
        <f t="array" ref="E437">IFERROR(time_diff_cor(Tabela1[[#This Row],[Largada]],Tabela1[[#This Row],[Chegada]]),"00:20:00:000")</f>
        <v>00:20:00:000</v>
      </c>
      <c r="F437" s="1" t="str" cm="1">
        <f t="array" ref="F437">IFERROR(time_diff(Tabela1[[#This Row],[TEMPO]],E436),"00:00:00:000")</f>
        <v>00:00:00:00</v>
      </c>
      <c r="G437" s="1" t="str" cm="1">
        <f t="array" aca="1" ref="G437" ca="1">IF(Tabela1[[#This Row],[N°]]=D436,time_sum(Tabela1[[#This Row],[TEMPO]],E436),Tabela1[[#This Row],[TEMPO]])</f>
        <v>00:40:00:000</v>
      </c>
      <c r="H437" s="1" t="e">
        <f>VLOOKUP(C437,LARGADA!A:B,2,FALSE)</f>
        <v>#N/A</v>
      </c>
      <c r="I437" s="1" t="e">
        <f>VLOOKUP(C437,CHEGADA!A:B,2,FALSE)</f>
        <v>#N/A</v>
      </c>
    </row>
    <row r="438" spans="4:9">
      <c r="D438" s="2" t="str">
        <f>IFERROR(LEFT(Tabela1[[#This Row],[N°S]],LEN(Tabela1[[#This Row],[N°S]])-1),"")</f>
        <v/>
      </c>
      <c r="E438" s="1" t="str" cm="1">
        <f t="array" ref="E438">IFERROR(time_diff_cor(Tabela1[[#This Row],[Largada]],Tabela1[[#This Row],[Chegada]]),"00:20:00:000")</f>
        <v>00:20:00:000</v>
      </c>
      <c r="F438" s="1" t="str" cm="1">
        <f t="array" ref="F438">IFERROR(time_diff(Tabela1[[#This Row],[TEMPO]],E437),"00:00:00:000")</f>
        <v>00:00:00:00</v>
      </c>
      <c r="G438" s="1" t="str" cm="1">
        <f t="array" aca="1" ref="G438" ca="1">IF(Tabela1[[#This Row],[N°]]=D437,time_sum(Tabela1[[#This Row],[TEMPO]],E437),Tabela1[[#This Row],[TEMPO]])</f>
        <v>00:40:00:000</v>
      </c>
      <c r="H438" s="1" t="e">
        <f>VLOOKUP(C438,LARGADA!A:B,2,FALSE)</f>
        <v>#N/A</v>
      </c>
      <c r="I438" s="1" t="e">
        <f>VLOOKUP(C438,CHEGADA!A:B,2,FALSE)</f>
        <v>#N/A</v>
      </c>
    </row>
    <row r="439" spans="4:9">
      <c r="D439" s="2" t="str">
        <f>IFERROR(LEFT(Tabela1[[#This Row],[N°S]],LEN(Tabela1[[#This Row],[N°S]])-1),"")</f>
        <v/>
      </c>
      <c r="E439" s="1" t="str" cm="1">
        <f t="array" ref="E439">IFERROR(time_diff_cor(Tabela1[[#This Row],[Largada]],Tabela1[[#This Row],[Chegada]]),"00:20:00:000")</f>
        <v>00:20:00:000</v>
      </c>
      <c r="F439" s="1" t="str" cm="1">
        <f t="array" ref="F439">IFERROR(time_diff(Tabela1[[#This Row],[TEMPO]],E438),"00:00:00:000")</f>
        <v>00:00:00:00</v>
      </c>
      <c r="G439" s="1" t="str" cm="1">
        <f t="array" aca="1" ref="G439" ca="1">IF(Tabela1[[#This Row],[N°]]=D438,time_sum(Tabela1[[#This Row],[TEMPO]],E438),Tabela1[[#This Row],[TEMPO]])</f>
        <v>00:40:00:000</v>
      </c>
      <c r="H439" s="1" t="e">
        <f>VLOOKUP(C439,LARGADA!A:B,2,FALSE)</f>
        <v>#N/A</v>
      </c>
      <c r="I439" s="1" t="e">
        <f>VLOOKUP(C439,CHEGADA!A:B,2,FALSE)</f>
        <v>#N/A</v>
      </c>
    </row>
    <row r="440" spans="4:9">
      <c r="D440" s="2" t="str">
        <f>IFERROR(LEFT(Tabela1[[#This Row],[N°S]],LEN(Tabela1[[#This Row],[N°S]])-1),"")</f>
        <v/>
      </c>
      <c r="E440" s="1" t="str" cm="1">
        <f t="array" ref="E440">IFERROR(time_diff_cor(Tabela1[[#This Row],[Largada]],Tabela1[[#This Row],[Chegada]]),"00:20:00:000")</f>
        <v>00:20:00:000</v>
      </c>
      <c r="F440" s="1" t="str" cm="1">
        <f t="array" ref="F440">IFERROR(time_diff(Tabela1[[#This Row],[TEMPO]],E439),"00:00:00:000")</f>
        <v>00:00:00:00</v>
      </c>
      <c r="G440" s="1" t="str" cm="1">
        <f t="array" aca="1" ref="G440" ca="1">IF(Tabela1[[#This Row],[N°]]=D439,time_sum(Tabela1[[#This Row],[TEMPO]],E439),Tabela1[[#This Row],[TEMPO]])</f>
        <v>00:40:00:000</v>
      </c>
      <c r="H440" s="1" t="e">
        <f>VLOOKUP(C440,LARGADA!A:B,2,FALSE)</f>
        <v>#N/A</v>
      </c>
      <c r="I440" s="1" t="e">
        <f>VLOOKUP(C440,CHEGADA!A:B,2,FALSE)</f>
        <v>#N/A</v>
      </c>
    </row>
    <row r="441" spans="4:9">
      <c r="D441" s="2" t="str">
        <f>IFERROR(LEFT(Tabela1[[#This Row],[N°S]],LEN(Tabela1[[#This Row],[N°S]])-1),"")</f>
        <v/>
      </c>
      <c r="E441" s="1" t="str" cm="1">
        <f t="array" ref="E441">IFERROR(time_diff_cor(Tabela1[[#This Row],[Largada]],Tabela1[[#This Row],[Chegada]]),"00:20:00:000")</f>
        <v>00:20:00:000</v>
      </c>
      <c r="F441" s="1" t="str" cm="1">
        <f t="array" ref="F441">IFERROR(time_diff(Tabela1[[#This Row],[TEMPO]],E440),"00:00:00:000")</f>
        <v>00:00:00:00</v>
      </c>
      <c r="G441" s="1" t="str" cm="1">
        <f t="array" aca="1" ref="G441" ca="1">IF(Tabela1[[#This Row],[N°]]=D440,time_sum(Tabela1[[#This Row],[TEMPO]],E440),Tabela1[[#This Row],[TEMPO]])</f>
        <v>00:40:00:000</v>
      </c>
      <c r="H441" s="1" t="e">
        <f>VLOOKUP(C441,LARGADA!A:B,2,FALSE)</f>
        <v>#N/A</v>
      </c>
      <c r="I441" s="1" t="e">
        <f>VLOOKUP(C441,CHEGADA!A:B,2,FALSE)</f>
        <v>#N/A</v>
      </c>
    </row>
    <row r="442" spans="4:9">
      <c r="D442" s="2" t="str">
        <f>IFERROR(LEFT(Tabela1[[#This Row],[N°S]],LEN(Tabela1[[#This Row],[N°S]])-1),"")</f>
        <v/>
      </c>
      <c r="E442" s="1" t="str" cm="1">
        <f t="array" ref="E442">IFERROR(time_diff_cor(Tabela1[[#This Row],[Largada]],Tabela1[[#This Row],[Chegada]]),"00:20:00:000")</f>
        <v>00:20:00:000</v>
      </c>
      <c r="F442" s="1" t="str" cm="1">
        <f t="array" ref="F442">IFERROR(time_diff(Tabela1[[#This Row],[TEMPO]],E441),"00:00:00:000")</f>
        <v>00:00:00:00</v>
      </c>
      <c r="G442" s="1" t="str" cm="1">
        <f t="array" aca="1" ref="G442" ca="1">IF(Tabela1[[#This Row],[N°]]=D441,time_sum(Tabela1[[#This Row],[TEMPO]],E441),Tabela1[[#This Row],[TEMPO]])</f>
        <v>00:40:00:000</v>
      </c>
      <c r="H442" s="1" t="e">
        <f>VLOOKUP(C442,LARGADA!A:B,2,FALSE)</f>
        <v>#N/A</v>
      </c>
      <c r="I442" s="1" t="e">
        <f>VLOOKUP(C442,CHEGADA!A:B,2,FALSE)</f>
        <v>#N/A</v>
      </c>
    </row>
    <row r="443" spans="4:9">
      <c r="D443" s="2" t="str">
        <f>IFERROR(LEFT(Tabela1[[#This Row],[N°S]],LEN(Tabela1[[#This Row],[N°S]])-1),"")</f>
        <v/>
      </c>
      <c r="E443" s="1" t="str" cm="1">
        <f t="array" ref="E443">IFERROR(time_diff_cor(Tabela1[[#This Row],[Largada]],Tabela1[[#This Row],[Chegada]]),"00:20:00:000")</f>
        <v>00:20:00:000</v>
      </c>
      <c r="F443" s="1" t="str" cm="1">
        <f t="array" ref="F443">IFERROR(time_diff(Tabela1[[#This Row],[TEMPO]],E442),"00:00:00:000")</f>
        <v>00:00:00:00</v>
      </c>
      <c r="G443" s="1" t="str" cm="1">
        <f t="array" aca="1" ref="G443" ca="1">IF(Tabela1[[#This Row],[N°]]=D442,time_sum(Tabela1[[#This Row],[TEMPO]],E442),Tabela1[[#This Row],[TEMPO]])</f>
        <v>00:40:00:000</v>
      </c>
      <c r="H443" s="1" t="e">
        <f>VLOOKUP(C443,LARGADA!A:B,2,FALSE)</f>
        <v>#N/A</v>
      </c>
      <c r="I443" s="1" t="e">
        <f>VLOOKUP(C443,CHEGADA!A:B,2,FALSE)</f>
        <v>#N/A</v>
      </c>
    </row>
    <row r="444" spans="4:9">
      <c r="D444" s="2" t="str">
        <f>IFERROR(LEFT(Tabela1[[#This Row],[N°S]],LEN(Tabela1[[#This Row],[N°S]])-1),"")</f>
        <v/>
      </c>
      <c r="E444" s="1" t="str" cm="1">
        <f t="array" ref="E444">IFERROR(time_diff_cor(Tabela1[[#This Row],[Largada]],Tabela1[[#This Row],[Chegada]]),"00:20:00:000")</f>
        <v>00:20:00:000</v>
      </c>
      <c r="F444" s="1" t="str" cm="1">
        <f t="array" ref="F444">IFERROR(time_diff(Tabela1[[#This Row],[TEMPO]],E443),"00:00:00:000")</f>
        <v>00:00:00:00</v>
      </c>
      <c r="G444" s="1" t="str" cm="1">
        <f t="array" aca="1" ref="G444" ca="1">IF(Tabela1[[#This Row],[N°]]=D443,time_sum(Tabela1[[#This Row],[TEMPO]],E443),Tabela1[[#This Row],[TEMPO]])</f>
        <v>00:40:00:000</v>
      </c>
      <c r="H444" s="1" t="e">
        <f>VLOOKUP(C444,LARGADA!A:B,2,FALSE)</f>
        <v>#N/A</v>
      </c>
      <c r="I444" s="1" t="e">
        <f>VLOOKUP(C444,CHEGADA!A:B,2,FALSE)</f>
        <v>#N/A</v>
      </c>
    </row>
    <row r="445" spans="4:9">
      <c r="D445" s="2" t="str">
        <f>IFERROR(LEFT(Tabela1[[#This Row],[N°S]],LEN(Tabela1[[#This Row],[N°S]])-1),"")</f>
        <v/>
      </c>
      <c r="E445" s="1" t="str" cm="1">
        <f t="array" ref="E445">IFERROR(time_diff_cor(Tabela1[[#This Row],[Largada]],Tabela1[[#This Row],[Chegada]]),"00:20:00:000")</f>
        <v>00:20:00:000</v>
      </c>
      <c r="F445" s="1" t="str" cm="1">
        <f t="array" ref="F445">IFERROR(time_diff(Tabela1[[#This Row],[TEMPO]],E444),"00:00:00:000")</f>
        <v>00:00:00:00</v>
      </c>
      <c r="G445" s="1" t="str" cm="1">
        <f t="array" aca="1" ref="G445" ca="1">IF(Tabela1[[#This Row],[N°]]=D444,time_sum(Tabela1[[#This Row],[TEMPO]],E444),Tabela1[[#This Row],[TEMPO]])</f>
        <v>00:40:00:000</v>
      </c>
      <c r="H445" s="1" t="e">
        <f>VLOOKUP(C445,LARGADA!A:B,2,FALSE)</f>
        <v>#N/A</v>
      </c>
      <c r="I445" s="1" t="e">
        <f>VLOOKUP(C445,CHEGADA!A:B,2,FALSE)</f>
        <v>#N/A</v>
      </c>
    </row>
    <row r="446" spans="4:9">
      <c r="D446" s="2" t="str">
        <f>IFERROR(LEFT(Tabela1[[#This Row],[N°S]],LEN(Tabela1[[#This Row],[N°S]])-1),"")</f>
        <v/>
      </c>
      <c r="E446" s="1" t="str" cm="1">
        <f t="array" ref="E446">IFERROR(time_diff_cor(Tabela1[[#This Row],[Largada]],Tabela1[[#This Row],[Chegada]]),"00:20:00:000")</f>
        <v>00:20:00:000</v>
      </c>
      <c r="F446" s="1" t="str" cm="1">
        <f t="array" ref="F446">IFERROR(time_diff(Tabela1[[#This Row],[TEMPO]],E445),"00:00:00:000")</f>
        <v>00:00:00:00</v>
      </c>
      <c r="G446" s="1" t="str" cm="1">
        <f t="array" aca="1" ref="G446" ca="1">IF(Tabela1[[#This Row],[N°]]=D445,time_sum(Tabela1[[#This Row],[TEMPO]],E445),Tabela1[[#This Row],[TEMPO]])</f>
        <v>00:40:00:000</v>
      </c>
      <c r="H446" s="1" t="e">
        <f>VLOOKUP(C446,LARGADA!A:B,2,FALSE)</f>
        <v>#N/A</v>
      </c>
      <c r="I446" s="1" t="e">
        <f>VLOOKUP(C446,CHEGADA!A:B,2,FALSE)</f>
        <v>#N/A</v>
      </c>
    </row>
    <row r="447" spans="4:9">
      <c r="D447" s="2" t="str">
        <f>IFERROR(LEFT(Tabela1[[#This Row],[N°S]],LEN(Tabela1[[#This Row],[N°S]])-1),"")</f>
        <v/>
      </c>
      <c r="E447" s="1" t="str" cm="1">
        <f t="array" ref="E447">IFERROR(time_diff_cor(Tabela1[[#This Row],[Largada]],Tabela1[[#This Row],[Chegada]]),"00:20:00:000")</f>
        <v>00:20:00:000</v>
      </c>
      <c r="F447" s="1" t="str" cm="1">
        <f t="array" ref="F447">IFERROR(time_diff(Tabela1[[#This Row],[TEMPO]],E446),"00:00:00:000")</f>
        <v>00:00:00:00</v>
      </c>
      <c r="G447" s="1" t="str" cm="1">
        <f t="array" aca="1" ref="G447" ca="1">IF(Tabela1[[#This Row],[N°]]=D446,time_sum(Tabela1[[#This Row],[TEMPO]],E446),Tabela1[[#This Row],[TEMPO]])</f>
        <v>00:40:00:000</v>
      </c>
      <c r="H447" s="1" t="e">
        <f>VLOOKUP(C447,LARGADA!A:B,2,FALSE)</f>
        <v>#N/A</v>
      </c>
      <c r="I447" s="1" t="e">
        <f>VLOOKUP(C447,CHEGADA!A:B,2,FALSE)</f>
        <v>#N/A</v>
      </c>
    </row>
    <row r="448" spans="4:9">
      <c r="D448" s="2" t="str">
        <f>IFERROR(LEFT(Tabela1[[#This Row],[N°S]],LEN(Tabela1[[#This Row],[N°S]])-1),"")</f>
        <v/>
      </c>
      <c r="E448" s="1" t="str" cm="1">
        <f t="array" ref="E448">IFERROR(time_diff_cor(Tabela1[[#This Row],[Largada]],Tabela1[[#This Row],[Chegada]]),"00:20:00:000")</f>
        <v>00:20:00:000</v>
      </c>
      <c r="F448" s="1" t="str" cm="1">
        <f t="array" ref="F448">IFERROR(time_diff(Tabela1[[#This Row],[TEMPO]],E447),"00:00:00:000")</f>
        <v>00:00:00:00</v>
      </c>
      <c r="G448" s="1" t="str" cm="1">
        <f t="array" aca="1" ref="G448" ca="1">IF(Tabela1[[#This Row],[N°]]=D447,time_sum(Tabela1[[#This Row],[TEMPO]],E447),Tabela1[[#This Row],[TEMPO]])</f>
        <v>00:40:00:000</v>
      </c>
      <c r="H448" s="1" t="e">
        <f>VLOOKUP(C448,LARGADA!A:B,2,FALSE)</f>
        <v>#N/A</v>
      </c>
      <c r="I448" s="1" t="e">
        <f>VLOOKUP(C448,CHEGADA!A:B,2,FALSE)</f>
        <v>#N/A</v>
      </c>
    </row>
    <row r="449" spans="4:9">
      <c r="D449" s="2" t="str">
        <f>IFERROR(LEFT(Tabela1[[#This Row],[N°S]],LEN(Tabela1[[#This Row],[N°S]])-1),"")</f>
        <v/>
      </c>
      <c r="E449" s="1" t="str" cm="1">
        <f t="array" ref="E449">IFERROR(time_diff_cor(Tabela1[[#This Row],[Largada]],Tabela1[[#This Row],[Chegada]]),"00:20:00:000")</f>
        <v>00:20:00:000</v>
      </c>
      <c r="F449" s="1" t="str" cm="1">
        <f t="array" ref="F449">IFERROR(time_diff(Tabela1[[#This Row],[TEMPO]],E448),"00:00:00:000")</f>
        <v>00:00:00:00</v>
      </c>
      <c r="G449" s="1" t="str" cm="1">
        <f t="array" aca="1" ref="G449" ca="1">IF(Tabela1[[#This Row],[N°]]=D448,time_sum(Tabela1[[#This Row],[TEMPO]],E448),Tabela1[[#This Row],[TEMPO]])</f>
        <v>00:40:00:000</v>
      </c>
      <c r="H449" s="1" t="e">
        <f>VLOOKUP(C449,LARGADA!A:B,2,FALSE)</f>
        <v>#N/A</v>
      </c>
      <c r="I449" s="1" t="e">
        <f>VLOOKUP(C449,CHEGADA!A:B,2,FALSE)</f>
        <v>#N/A</v>
      </c>
    </row>
    <row r="450" spans="4:9">
      <c r="D450" s="2" t="str">
        <f>IFERROR(LEFT(Tabela1[[#This Row],[N°S]],LEN(Tabela1[[#This Row],[N°S]])-1),"")</f>
        <v/>
      </c>
      <c r="E450" s="1" t="str" cm="1">
        <f t="array" ref="E450">IFERROR(time_diff_cor(Tabela1[[#This Row],[Largada]],Tabela1[[#This Row],[Chegada]]),"00:20:00:000")</f>
        <v>00:20:00:000</v>
      </c>
      <c r="F450" s="1" t="str" cm="1">
        <f t="array" ref="F450">IFERROR(time_diff(Tabela1[[#This Row],[TEMPO]],E449),"00:00:00:000")</f>
        <v>00:00:00:00</v>
      </c>
      <c r="G450" s="1" t="str" cm="1">
        <f t="array" aca="1" ref="G450" ca="1">IF(Tabela1[[#This Row],[N°]]=D449,time_sum(Tabela1[[#This Row],[TEMPO]],E449),Tabela1[[#This Row],[TEMPO]])</f>
        <v>00:40:00:000</v>
      </c>
      <c r="H450" s="1" t="e">
        <f>VLOOKUP(C450,LARGADA!A:B,2,FALSE)</f>
        <v>#N/A</v>
      </c>
      <c r="I450" s="1" t="e">
        <f>VLOOKUP(C450,CHEGADA!A:B,2,FALSE)</f>
        <v>#N/A</v>
      </c>
    </row>
    <row r="451" spans="4:9">
      <c r="D451" s="2" t="str">
        <f>IFERROR(LEFT(Tabela1[[#This Row],[N°S]],LEN(Tabela1[[#This Row],[N°S]])-1),"")</f>
        <v/>
      </c>
      <c r="E451" s="1" t="str" cm="1">
        <f t="array" ref="E451">IFERROR(time_diff_cor(Tabela1[[#This Row],[Largada]],Tabela1[[#This Row],[Chegada]]),"00:20:00:000")</f>
        <v>00:20:00:000</v>
      </c>
      <c r="F451" s="1" t="str" cm="1">
        <f t="array" ref="F451">IFERROR(time_diff(Tabela1[[#This Row],[TEMPO]],E450),"00:00:00:000")</f>
        <v>00:00:00:00</v>
      </c>
      <c r="G451" s="1" t="str" cm="1">
        <f t="array" aca="1" ref="G451" ca="1">IF(Tabela1[[#This Row],[N°]]=D450,time_sum(Tabela1[[#This Row],[TEMPO]],E450),Tabela1[[#This Row],[TEMPO]])</f>
        <v>00:40:00:000</v>
      </c>
      <c r="H451" s="1" t="e">
        <f>VLOOKUP(C451,LARGADA!A:B,2,FALSE)</f>
        <v>#N/A</v>
      </c>
      <c r="I451" s="1" t="e">
        <f>VLOOKUP(C451,CHEGADA!A:B,2,FALSE)</f>
        <v>#N/A</v>
      </c>
    </row>
    <row r="452" spans="4:9">
      <c r="D452" s="2" t="str">
        <f>IFERROR(LEFT(Tabela1[[#This Row],[N°S]],LEN(Tabela1[[#This Row],[N°S]])-1),"")</f>
        <v/>
      </c>
      <c r="E452" s="1" t="str" cm="1">
        <f t="array" ref="E452">IFERROR(time_diff_cor(Tabela1[[#This Row],[Largada]],Tabela1[[#This Row],[Chegada]]),"00:20:00:000")</f>
        <v>00:20:00:000</v>
      </c>
      <c r="F452" s="1" t="str" cm="1">
        <f t="array" ref="F452">IFERROR(time_diff(Tabela1[[#This Row],[TEMPO]],E451),"00:00:00:000")</f>
        <v>00:00:00:00</v>
      </c>
      <c r="G452" s="1" t="str" cm="1">
        <f t="array" aca="1" ref="G452" ca="1">IF(Tabela1[[#This Row],[N°]]=D451,time_sum(Tabela1[[#This Row],[TEMPO]],E451),Tabela1[[#This Row],[TEMPO]])</f>
        <v>00:40:00:000</v>
      </c>
      <c r="H452" s="1" t="e">
        <f>VLOOKUP(C452,LARGADA!A:B,2,FALSE)</f>
        <v>#N/A</v>
      </c>
      <c r="I452" s="1" t="e">
        <f>VLOOKUP(C452,CHEGADA!A:B,2,FALSE)</f>
        <v>#N/A</v>
      </c>
    </row>
    <row r="453" spans="4:9">
      <c r="D453" s="2" t="str">
        <f>IFERROR(LEFT(Tabela1[[#This Row],[N°S]],LEN(Tabela1[[#This Row],[N°S]])-1),"")</f>
        <v/>
      </c>
      <c r="E453" s="1" t="str" cm="1">
        <f t="array" ref="E453">IFERROR(time_diff_cor(Tabela1[[#This Row],[Largada]],Tabela1[[#This Row],[Chegada]]),"00:20:00:000")</f>
        <v>00:20:00:000</v>
      </c>
      <c r="F453" s="1" t="str" cm="1">
        <f t="array" ref="F453">IFERROR(time_diff(Tabela1[[#This Row],[TEMPO]],E452),"00:00:00:000")</f>
        <v>00:00:00:00</v>
      </c>
      <c r="G453" s="1" t="str" cm="1">
        <f t="array" aca="1" ref="G453" ca="1">IF(Tabela1[[#This Row],[N°]]=D452,time_sum(Tabela1[[#This Row],[TEMPO]],E452),Tabela1[[#This Row],[TEMPO]])</f>
        <v>00:40:00:000</v>
      </c>
      <c r="H453" s="1" t="e">
        <f>VLOOKUP(C453,LARGADA!A:B,2,FALSE)</f>
        <v>#N/A</v>
      </c>
      <c r="I453" s="1" t="e">
        <f>VLOOKUP(C453,CHEGADA!A:B,2,FALSE)</f>
        <v>#N/A</v>
      </c>
    </row>
    <row r="454" spans="4:9">
      <c r="D454" s="2" t="str">
        <f>IFERROR(LEFT(Tabela1[[#This Row],[N°S]],LEN(Tabela1[[#This Row],[N°S]])-1),"")</f>
        <v/>
      </c>
      <c r="E454" s="1" t="str" cm="1">
        <f t="array" ref="E454">IFERROR(time_diff_cor(Tabela1[[#This Row],[Largada]],Tabela1[[#This Row],[Chegada]]),"00:20:00:000")</f>
        <v>00:20:00:000</v>
      </c>
      <c r="F454" s="1" t="str" cm="1">
        <f t="array" ref="F454">IFERROR(time_diff(Tabela1[[#This Row],[TEMPO]],E453),"00:00:00:000")</f>
        <v>00:00:00:00</v>
      </c>
      <c r="G454" s="1" t="str" cm="1">
        <f t="array" aca="1" ref="G454" ca="1">IF(Tabela1[[#This Row],[N°]]=D453,time_sum(Tabela1[[#This Row],[TEMPO]],E453),Tabela1[[#This Row],[TEMPO]])</f>
        <v>00:40:00:000</v>
      </c>
      <c r="H454" s="1" t="e">
        <f>VLOOKUP(C454,LARGADA!A:B,2,FALSE)</f>
        <v>#N/A</v>
      </c>
      <c r="I454" s="1" t="e">
        <f>VLOOKUP(C454,CHEGADA!A:B,2,FALSE)</f>
        <v>#N/A</v>
      </c>
    </row>
    <row r="455" spans="4:9">
      <c r="D455" s="2" t="str">
        <f>IFERROR(LEFT(Tabela1[[#This Row],[N°S]],LEN(Tabela1[[#This Row],[N°S]])-1),"")</f>
        <v/>
      </c>
      <c r="E455" s="1" t="str" cm="1">
        <f t="array" ref="E455">IFERROR(time_diff_cor(Tabela1[[#This Row],[Largada]],Tabela1[[#This Row],[Chegada]]),"00:20:00:000")</f>
        <v>00:20:00:000</v>
      </c>
      <c r="F455" s="1" t="str" cm="1">
        <f t="array" ref="F455">IFERROR(time_diff(Tabela1[[#This Row],[TEMPO]],E454),"00:00:00:000")</f>
        <v>00:00:00:00</v>
      </c>
      <c r="G455" s="1" t="str" cm="1">
        <f t="array" aca="1" ref="G455" ca="1">IF(Tabela1[[#This Row],[N°]]=D454,time_sum(Tabela1[[#This Row],[TEMPO]],E454),Tabela1[[#This Row],[TEMPO]])</f>
        <v>00:40:00:000</v>
      </c>
      <c r="H455" s="1" t="e">
        <f>VLOOKUP(C455,LARGADA!A:B,2,FALSE)</f>
        <v>#N/A</v>
      </c>
      <c r="I455" s="1" t="e">
        <f>VLOOKUP(C455,CHEGADA!A:B,2,FALSE)</f>
        <v>#N/A</v>
      </c>
    </row>
    <row r="456" spans="4:9">
      <c r="D456" s="2" t="str">
        <f>IFERROR(LEFT(Tabela1[[#This Row],[N°S]],LEN(Tabela1[[#This Row],[N°S]])-1),"")</f>
        <v/>
      </c>
      <c r="E456" s="1" t="str" cm="1">
        <f t="array" ref="E456">IFERROR(time_diff_cor(Tabela1[[#This Row],[Largada]],Tabela1[[#This Row],[Chegada]]),"00:20:00:000")</f>
        <v>00:20:00:000</v>
      </c>
      <c r="F456" s="1" t="str" cm="1">
        <f t="array" ref="F456">IFERROR(time_diff(Tabela1[[#This Row],[TEMPO]],E455),"00:00:00:000")</f>
        <v>00:00:00:00</v>
      </c>
      <c r="G456" s="1" t="str" cm="1">
        <f t="array" aca="1" ref="G456" ca="1">IF(Tabela1[[#This Row],[N°]]=D455,time_sum(Tabela1[[#This Row],[TEMPO]],E455),Tabela1[[#This Row],[TEMPO]])</f>
        <v>00:40:00:000</v>
      </c>
      <c r="H456" s="1" t="e">
        <f>VLOOKUP(C456,LARGADA!A:B,2,FALSE)</f>
        <v>#N/A</v>
      </c>
      <c r="I456" s="1" t="e">
        <f>VLOOKUP(C456,CHEGADA!A:B,2,FALSE)</f>
        <v>#N/A</v>
      </c>
    </row>
    <row r="457" spans="4:9">
      <c r="D457" s="2" t="str">
        <f>IFERROR(LEFT(Tabela1[[#This Row],[N°S]],LEN(Tabela1[[#This Row],[N°S]])-1),"")</f>
        <v/>
      </c>
      <c r="E457" s="1" t="str" cm="1">
        <f t="array" ref="E457">IFERROR(time_diff_cor(Tabela1[[#This Row],[Largada]],Tabela1[[#This Row],[Chegada]]),"00:20:00:000")</f>
        <v>00:20:00:000</v>
      </c>
      <c r="F457" s="1" t="str" cm="1">
        <f t="array" ref="F457">IFERROR(time_diff(Tabela1[[#This Row],[TEMPO]],E456),"00:00:00:000")</f>
        <v>00:00:00:00</v>
      </c>
      <c r="G457" s="1" t="str" cm="1">
        <f t="array" aca="1" ref="G457" ca="1">IF(Tabela1[[#This Row],[N°]]=D456,time_sum(Tabela1[[#This Row],[TEMPO]],E456),Tabela1[[#This Row],[TEMPO]])</f>
        <v>00:40:00:000</v>
      </c>
      <c r="H457" s="1" t="e">
        <f>VLOOKUP(C457,LARGADA!A:B,2,FALSE)</f>
        <v>#N/A</v>
      </c>
      <c r="I457" s="1" t="e">
        <f>VLOOKUP(C457,CHEGADA!A:B,2,FALSE)</f>
        <v>#N/A</v>
      </c>
    </row>
    <row r="458" spans="4:9">
      <c r="D458" s="2" t="str">
        <f>IFERROR(LEFT(Tabela1[[#This Row],[N°S]],LEN(Tabela1[[#This Row],[N°S]])-1),"")</f>
        <v/>
      </c>
      <c r="E458" s="1" t="str" cm="1">
        <f t="array" ref="E458">IFERROR(time_diff_cor(Tabela1[[#This Row],[Largada]],Tabela1[[#This Row],[Chegada]]),"00:20:00:000")</f>
        <v>00:20:00:000</v>
      </c>
      <c r="F458" s="1" t="str" cm="1">
        <f t="array" ref="F458">IFERROR(time_diff(Tabela1[[#This Row],[TEMPO]],E457),"00:00:00:000")</f>
        <v>00:00:00:00</v>
      </c>
      <c r="G458" s="1" t="str" cm="1">
        <f t="array" aca="1" ref="G458" ca="1">IF(Tabela1[[#This Row],[N°]]=D457,time_sum(Tabela1[[#This Row],[TEMPO]],E457),Tabela1[[#This Row],[TEMPO]])</f>
        <v>00:40:00:000</v>
      </c>
      <c r="H458" s="1" t="e">
        <f>VLOOKUP(C458,LARGADA!A:B,2,FALSE)</f>
        <v>#N/A</v>
      </c>
      <c r="I458" s="1" t="e">
        <f>VLOOKUP(C458,CHEGADA!A:B,2,FALSE)</f>
        <v>#N/A</v>
      </c>
    </row>
    <row r="459" spans="4:9">
      <c r="D459" s="2" t="str">
        <f>IFERROR(LEFT(Tabela1[[#This Row],[N°S]],LEN(Tabela1[[#This Row],[N°S]])-1),"")</f>
        <v/>
      </c>
      <c r="E459" s="1" t="str" cm="1">
        <f t="array" ref="E459">IFERROR(time_diff_cor(Tabela1[[#This Row],[Largada]],Tabela1[[#This Row],[Chegada]]),"00:20:00:000")</f>
        <v>00:20:00:000</v>
      </c>
      <c r="F459" s="1" t="str" cm="1">
        <f t="array" ref="F459">IFERROR(time_diff(Tabela1[[#This Row],[TEMPO]],E458),"00:00:00:000")</f>
        <v>00:00:00:00</v>
      </c>
      <c r="G459" s="1" t="str" cm="1">
        <f t="array" aca="1" ref="G459" ca="1">IF(Tabela1[[#This Row],[N°]]=D458,time_sum(Tabela1[[#This Row],[TEMPO]],E458),Tabela1[[#This Row],[TEMPO]])</f>
        <v>00:40:00:000</v>
      </c>
      <c r="H459" s="1" t="e">
        <f>VLOOKUP(C459,LARGADA!A:B,2,FALSE)</f>
        <v>#N/A</v>
      </c>
      <c r="I459" s="1" t="e">
        <f>VLOOKUP(C459,CHEGADA!A:B,2,FALSE)</f>
        <v>#N/A</v>
      </c>
    </row>
    <row r="460" spans="4:9">
      <c r="D460" s="2" t="str">
        <f>IFERROR(LEFT(Tabela1[[#This Row],[N°S]],LEN(Tabela1[[#This Row],[N°S]])-1),"")</f>
        <v/>
      </c>
      <c r="E460" s="1" t="str" cm="1">
        <f t="array" ref="E460">IFERROR(time_diff_cor(Tabela1[[#This Row],[Largada]],Tabela1[[#This Row],[Chegada]]),"00:20:00:000")</f>
        <v>00:20:00:000</v>
      </c>
      <c r="F460" s="1" t="str" cm="1">
        <f t="array" ref="F460">IFERROR(time_diff(Tabela1[[#This Row],[TEMPO]],E459),"00:00:00:000")</f>
        <v>00:00:00:00</v>
      </c>
      <c r="G460" s="1" t="str" cm="1">
        <f t="array" aca="1" ref="G460" ca="1">IF(Tabela1[[#This Row],[N°]]=D459,time_sum(Tabela1[[#This Row],[TEMPO]],E459),Tabela1[[#This Row],[TEMPO]])</f>
        <v>00:40:00:000</v>
      </c>
      <c r="H460" s="1" t="e">
        <f>VLOOKUP(C460,LARGADA!A:B,2,FALSE)</f>
        <v>#N/A</v>
      </c>
      <c r="I460" s="1" t="e">
        <f>VLOOKUP(C460,CHEGADA!A:B,2,FALSE)</f>
        <v>#N/A</v>
      </c>
    </row>
    <row r="461" spans="4:9">
      <c r="D461" s="2" t="str">
        <f>IFERROR(LEFT(Tabela1[[#This Row],[N°S]],LEN(Tabela1[[#This Row],[N°S]])-1),"")</f>
        <v/>
      </c>
      <c r="E461" s="1" t="str" cm="1">
        <f t="array" ref="E461">IFERROR(time_diff_cor(Tabela1[[#This Row],[Largada]],Tabela1[[#This Row],[Chegada]]),"00:20:00:000")</f>
        <v>00:20:00:000</v>
      </c>
      <c r="F461" s="1" t="str" cm="1">
        <f t="array" ref="F461">IFERROR(time_diff(Tabela1[[#This Row],[TEMPO]],E460),"00:00:00:000")</f>
        <v>00:00:00:00</v>
      </c>
      <c r="G461" s="1" t="str" cm="1">
        <f t="array" aca="1" ref="G461" ca="1">IF(Tabela1[[#This Row],[N°]]=D460,time_sum(Tabela1[[#This Row],[TEMPO]],E460),Tabela1[[#This Row],[TEMPO]])</f>
        <v>00:40:00:000</v>
      </c>
      <c r="H461" s="1" t="e">
        <f>VLOOKUP(C461,LARGADA!A:B,2,FALSE)</f>
        <v>#N/A</v>
      </c>
      <c r="I461" s="1" t="e">
        <f>VLOOKUP(C461,CHEGADA!A:B,2,FALSE)</f>
        <v>#N/A</v>
      </c>
    </row>
    <row r="462" spans="4:9">
      <c r="D462" s="2" t="str">
        <f>IFERROR(LEFT(Tabela1[[#This Row],[N°S]],LEN(Tabela1[[#This Row],[N°S]])-1),"")</f>
        <v/>
      </c>
      <c r="E462" s="1" t="str" cm="1">
        <f t="array" ref="E462">IFERROR(time_diff_cor(Tabela1[[#This Row],[Largada]],Tabela1[[#This Row],[Chegada]]),"00:20:00:000")</f>
        <v>00:20:00:000</v>
      </c>
      <c r="F462" s="1" t="str" cm="1">
        <f t="array" ref="F462">IFERROR(time_diff(Tabela1[[#This Row],[TEMPO]],E461),"00:00:00:000")</f>
        <v>00:00:00:00</v>
      </c>
      <c r="G462" s="1" t="str" cm="1">
        <f t="array" aca="1" ref="G462" ca="1">IF(Tabela1[[#This Row],[N°]]=D461,time_sum(Tabela1[[#This Row],[TEMPO]],E461),Tabela1[[#This Row],[TEMPO]])</f>
        <v>00:40:00:000</v>
      </c>
      <c r="H462" s="1" t="e">
        <f>VLOOKUP(C462,LARGADA!A:B,2,FALSE)</f>
        <v>#N/A</v>
      </c>
      <c r="I462" s="1" t="e">
        <f>VLOOKUP(C462,CHEGADA!A:B,2,FALSE)</f>
        <v>#N/A</v>
      </c>
    </row>
    <row r="463" spans="4:9">
      <c r="D463" s="2" t="str">
        <f>IFERROR(LEFT(Tabela1[[#This Row],[N°S]],LEN(Tabela1[[#This Row],[N°S]])-1),"")</f>
        <v/>
      </c>
      <c r="E463" s="1" t="str" cm="1">
        <f t="array" ref="E463">IFERROR(time_diff_cor(Tabela1[[#This Row],[Largada]],Tabela1[[#This Row],[Chegada]]),"00:20:00:000")</f>
        <v>00:20:00:000</v>
      </c>
      <c r="F463" s="1" t="str" cm="1">
        <f t="array" ref="F463">IFERROR(time_diff(Tabela1[[#This Row],[TEMPO]],E462),"00:00:00:000")</f>
        <v>00:00:00:00</v>
      </c>
      <c r="G463" s="1" t="str" cm="1">
        <f t="array" aca="1" ref="G463" ca="1">IF(Tabela1[[#This Row],[N°]]=D462,time_sum(Tabela1[[#This Row],[TEMPO]],E462),Tabela1[[#This Row],[TEMPO]])</f>
        <v>00:40:00:000</v>
      </c>
      <c r="H463" s="1" t="e">
        <f>VLOOKUP(C463,LARGADA!A:B,2,FALSE)</f>
        <v>#N/A</v>
      </c>
      <c r="I463" s="1" t="e">
        <f>VLOOKUP(C463,CHEGADA!A:B,2,FALSE)</f>
        <v>#N/A</v>
      </c>
    </row>
    <row r="464" spans="4:9">
      <c r="D464" s="2" t="str">
        <f>IFERROR(LEFT(Tabela1[[#This Row],[N°S]],LEN(Tabela1[[#This Row],[N°S]])-1),"")</f>
        <v/>
      </c>
      <c r="E464" s="1" t="str" cm="1">
        <f t="array" ref="E464">IFERROR(time_diff_cor(Tabela1[[#This Row],[Largada]],Tabela1[[#This Row],[Chegada]]),"00:20:00:000")</f>
        <v>00:20:00:000</v>
      </c>
      <c r="F464" s="1" t="str" cm="1">
        <f t="array" ref="F464">IFERROR(time_diff(Tabela1[[#This Row],[TEMPO]],E463),"00:00:00:000")</f>
        <v>00:00:00:00</v>
      </c>
      <c r="G464" s="1" t="str" cm="1">
        <f t="array" aca="1" ref="G464" ca="1">IF(Tabela1[[#This Row],[N°]]=D463,time_sum(Tabela1[[#This Row],[TEMPO]],E463),Tabela1[[#This Row],[TEMPO]])</f>
        <v>00:40:00:000</v>
      </c>
      <c r="H464" s="1" t="e">
        <f>VLOOKUP(C464,LARGADA!A:B,2,FALSE)</f>
        <v>#N/A</v>
      </c>
      <c r="I464" s="1" t="e">
        <f>VLOOKUP(C464,CHEGADA!A:B,2,FALSE)</f>
        <v>#N/A</v>
      </c>
    </row>
    <row r="465" spans="4:9">
      <c r="D465" s="2" t="str">
        <f>IFERROR(LEFT(Tabela1[[#This Row],[N°S]],LEN(Tabela1[[#This Row],[N°S]])-1),"")</f>
        <v/>
      </c>
      <c r="E465" s="1" t="str" cm="1">
        <f t="array" ref="E465">IFERROR(time_diff_cor(Tabela1[[#This Row],[Largada]],Tabela1[[#This Row],[Chegada]]),"00:20:00:000")</f>
        <v>00:20:00:000</v>
      </c>
      <c r="F465" s="1" t="str" cm="1">
        <f t="array" ref="F465">IFERROR(time_diff(Tabela1[[#This Row],[TEMPO]],E464),"00:00:00:000")</f>
        <v>00:00:00:00</v>
      </c>
      <c r="G465" s="1" t="str" cm="1">
        <f t="array" aca="1" ref="G465" ca="1">IF(Tabela1[[#This Row],[N°]]=D464,time_sum(Tabela1[[#This Row],[TEMPO]],E464),Tabela1[[#This Row],[TEMPO]])</f>
        <v>00:40:00:000</v>
      </c>
      <c r="H465" s="1" t="e">
        <f>VLOOKUP(C465,LARGADA!A:B,2,FALSE)</f>
        <v>#N/A</v>
      </c>
      <c r="I465" s="1" t="e">
        <f>VLOOKUP(C465,CHEGADA!A:B,2,FALSE)</f>
        <v>#N/A</v>
      </c>
    </row>
    <row r="466" spans="4:9">
      <c r="D466" s="2" t="str">
        <f>IFERROR(LEFT(Tabela1[[#This Row],[N°S]],LEN(Tabela1[[#This Row],[N°S]])-1),"")</f>
        <v/>
      </c>
      <c r="E466" s="1" t="str" cm="1">
        <f t="array" ref="E466">IFERROR(time_diff_cor(Tabela1[[#This Row],[Largada]],Tabela1[[#This Row],[Chegada]]),"00:20:00:000")</f>
        <v>00:20:00:000</v>
      </c>
      <c r="F466" s="1" t="str" cm="1">
        <f t="array" ref="F466">IFERROR(time_diff(Tabela1[[#This Row],[TEMPO]],E465),"00:00:00:000")</f>
        <v>00:00:00:00</v>
      </c>
      <c r="G466" s="1" t="str" cm="1">
        <f t="array" aca="1" ref="G466" ca="1">IF(Tabela1[[#This Row],[N°]]=D465,time_sum(Tabela1[[#This Row],[TEMPO]],E465),Tabela1[[#This Row],[TEMPO]])</f>
        <v>00:40:00:000</v>
      </c>
      <c r="H466" s="1" t="e">
        <f>VLOOKUP(C466,LARGADA!A:B,2,FALSE)</f>
        <v>#N/A</v>
      </c>
      <c r="I466" s="1" t="e">
        <f>VLOOKUP(C466,CHEGADA!A:B,2,FALSE)</f>
        <v>#N/A</v>
      </c>
    </row>
    <row r="467" spans="4:9">
      <c r="D467" s="2" t="str">
        <f>IFERROR(LEFT(Tabela1[[#This Row],[N°S]],LEN(Tabela1[[#This Row],[N°S]])-1),"")</f>
        <v/>
      </c>
      <c r="E467" s="1" t="str" cm="1">
        <f t="array" ref="E467">IFERROR(time_diff_cor(Tabela1[[#This Row],[Largada]],Tabela1[[#This Row],[Chegada]]),"00:20:00:000")</f>
        <v>00:20:00:000</v>
      </c>
      <c r="F467" s="1" t="str" cm="1">
        <f t="array" ref="F467">IFERROR(time_diff(Tabela1[[#This Row],[TEMPO]],E466),"00:00:00:000")</f>
        <v>00:00:00:00</v>
      </c>
      <c r="G467" s="1" t="str" cm="1">
        <f t="array" aca="1" ref="G467" ca="1">IF(Tabela1[[#This Row],[N°]]=D466,time_sum(Tabela1[[#This Row],[TEMPO]],E466),Tabela1[[#This Row],[TEMPO]])</f>
        <v>00:40:00:000</v>
      </c>
      <c r="H467" s="1" t="e">
        <f>VLOOKUP(C467,LARGADA!A:B,2,FALSE)</f>
        <v>#N/A</v>
      </c>
      <c r="I467" s="1" t="e">
        <f>VLOOKUP(C467,CHEGADA!A:B,2,FALSE)</f>
        <v>#N/A</v>
      </c>
    </row>
    <row r="468" spans="4:9">
      <c r="D468" s="2" t="str">
        <f>IFERROR(LEFT(Tabela1[[#This Row],[N°S]],LEN(Tabela1[[#This Row],[N°S]])-1),"")</f>
        <v/>
      </c>
      <c r="E468" s="1" t="str" cm="1">
        <f t="array" ref="E468">IFERROR(time_diff_cor(Tabela1[[#This Row],[Largada]],Tabela1[[#This Row],[Chegada]]),"00:20:00:000")</f>
        <v>00:20:00:000</v>
      </c>
      <c r="F468" s="1" t="str" cm="1">
        <f t="array" ref="F468">IFERROR(time_diff(Tabela1[[#This Row],[TEMPO]],E467),"00:00:00:000")</f>
        <v>00:00:00:00</v>
      </c>
      <c r="G468" s="1" t="str" cm="1">
        <f t="array" aca="1" ref="G468" ca="1">IF(Tabela1[[#This Row],[N°]]=D467,time_sum(Tabela1[[#This Row],[TEMPO]],E467),Tabela1[[#This Row],[TEMPO]])</f>
        <v>00:40:00:000</v>
      </c>
      <c r="H468" s="1" t="e">
        <f>VLOOKUP(C468,LARGADA!A:B,2,FALSE)</f>
        <v>#N/A</v>
      </c>
      <c r="I468" s="1" t="e">
        <f>VLOOKUP(C468,CHEGADA!A:B,2,FALSE)</f>
        <v>#N/A</v>
      </c>
    </row>
    <row r="469" spans="4:9">
      <c r="D469" s="2" t="str">
        <f>IFERROR(LEFT(Tabela1[[#This Row],[N°S]],LEN(Tabela1[[#This Row],[N°S]])-1),"")</f>
        <v/>
      </c>
      <c r="E469" s="1" t="str" cm="1">
        <f t="array" ref="E469">IFERROR(time_diff_cor(Tabela1[[#This Row],[Largada]],Tabela1[[#This Row],[Chegada]]),"00:20:00:000")</f>
        <v>00:20:00:000</v>
      </c>
      <c r="F469" s="1" t="str" cm="1">
        <f t="array" ref="F469">IFERROR(time_diff(Tabela1[[#This Row],[TEMPO]],E468),"00:00:00:000")</f>
        <v>00:00:00:00</v>
      </c>
      <c r="G469" s="1" t="str" cm="1">
        <f t="array" aca="1" ref="G469" ca="1">IF(Tabela1[[#This Row],[N°]]=D468,time_sum(Tabela1[[#This Row],[TEMPO]],E468),Tabela1[[#This Row],[TEMPO]])</f>
        <v>00:40:00:000</v>
      </c>
      <c r="H469" s="1" t="e">
        <f>VLOOKUP(C469,LARGADA!A:B,2,FALSE)</f>
        <v>#N/A</v>
      </c>
      <c r="I469" s="1" t="e">
        <f>VLOOKUP(C469,CHEGADA!A:B,2,FALSE)</f>
        <v>#N/A</v>
      </c>
    </row>
    <row r="470" spans="4:9">
      <c r="D470" s="2" t="str">
        <f>IFERROR(LEFT(Tabela1[[#This Row],[N°S]],LEN(Tabela1[[#This Row],[N°S]])-1),"")</f>
        <v/>
      </c>
      <c r="E470" s="1" t="str" cm="1">
        <f t="array" ref="E470">IFERROR(time_diff_cor(Tabela1[[#This Row],[Largada]],Tabela1[[#This Row],[Chegada]]),"00:20:00:000")</f>
        <v>00:20:00:000</v>
      </c>
      <c r="F470" s="1" t="str" cm="1">
        <f t="array" ref="F470">IFERROR(time_diff(Tabela1[[#This Row],[TEMPO]],E469),"00:00:00:000")</f>
        <v>00:00:00:00</v>
      </c>
      <c r="G470" s="1" t="str" cm="1">
        <f t="array" aca="1" ref="G470" ca="1">IF(Tabela1[[#This Row],[N°]]=D469,time_sum(Tabela1[[#This Row],[TEMPO]],E469),Tabela1[[#This Row],[TEMPO]])</f>
        <v>00:40:00:000</v>
      </c>
      <c r="H470" s="1" t="e">
        <f>VLOOKUP(C470,LARGADA!A:B,2,FALSE)</f>
        <v>#N/A</v>
      </c>
      <c r="I470" s="1" t="e">
        <f>VLOOKUP(C470,CHEGADA!A:B,2,FALSE)</f>
        <v>#N/A</v>
      </c>
    </row>
    <row r="471" spans="4:9">
      <c r="D471" s="2" t="str">
        <f>IFERROR(LEFT(Tabela1[[#This Row],[N°S]],LEN(Tabela1[[#This Row],[N°S]])-1),"")</f>
        <v/>
      </c>
      <c r="E471" s="1" t="str" cm="1">
        <f t="array" ref="E471">IFERROR(time_diff_cor(Tabela1[[#This Row],[Largada]],Tabela1[[#This Row],[Chegada]]),"00:20:00:000")</f>
        <v>00:20:00:000</v>
      </c>
      <c r="F471" s="1" t="str" cm="1">
        <f t="array" ref="F471">IFERROR(time_diff(Tabela1[[#This Row],[TEMPO]],E470),"00:00:00:000")</f>
        <v>00:00:00:00</v>
      </c>
      <c r="G471" s="1" t="str" cm="1">
        <f t="array" aca="1" ref="G471" ca="1">IF(Tabela1[[#This Row],[N°]]=D470,time_sum(Tabela1[[#This Row],[TEMPO]],E470),Tabela1[[#This Row],[TEMPO]])</f>
        <v>00:40:00:000</v>
      </c>
      <c r="H471" s="1" t="e">
        <f>VLOOKUP(C471,LARGADA!A:B,2,FALSE)</f>
        <v>#N/A</v>
      </c>
      <c r="I471" s="1" t="e">
        <f>VLOOKUP(C471,CHEGADA!A:B,2,FALSE)</f>
        <v>#N/A</v>
      </c>
    </row>
    <row r="472" spans="4:9">
      <c r="D472" s="2" t="str">
        <f>IFERROR(LEFT(Tabela1[[#This Row],[N°S]],LEN(Tabela1[[#This Row],[N°S]])-1),"")</f>
        <v/>
      </c>
      <c r="E472" s="1" t="str" cm="1">
        <f t="array" ref="E472">IFERROR(time_diff_cor(Tabela1[[#This Row],[Largada]],Tabela1[[#This Row],[Chegada]]),"00:20:00:000")</f>
        <v>00:20:00:000</v>
      </c>
      <c r="F472" s="1" t="str" cm="1">
        <f t="array" ref="F472">IFERROR(time_diff(Tabela1[[#This Row],[TEMPO]],E471),"00:00:00:000")</f>
        <v>00:00:00:00</v>
      </c>
      <c r="G472" s="1" t="str" cm="1">
        <f t="array" aca="1" ref="G472" ca="1">IF(Tabela1[[#This Row],[N°]]=D471,time_sum(Tabela1[[#This Row],[TEMPO]],E471),Tabela1[[#This Row],[TEMPO]])</f>
        <v>00:40:00:000</v>
      </c>
      <c r="H472" s="1" t="e">
        <f>VLOOKUP(C472,LARGADA!A:B,2,FALSE)</f>
        <v>#N/A</v>
      </c>
      <c r="I472" s="1" t="e">
        <f>VLOOKUP(C472,CHEGADA!A:B,2,FALSE)</f>
        <v>#N/A</v>
      </c>
    </row>
    <row r="473" spans="4:9">
      <c r="D473" s="2" t="str">
        <f>IFERROR(LEFT(Tabela1[[#This Row],[N°S]],LEN(Tabela1[[#This Row],[N°S]])-1),"")</f>
        <v/>
      </c>
      <c r="E473" s="1" t="str" cm="1">
        <f t="array" ref="E473">IFERROR(time_diff_cor(Tabela1[[#This Row],[Largada]],Tabela1[[#This Row],[Chegada]]),"00:20:00:000")</f>
        <v>00:20:00:000</v>
      </c>
      <c r="F473" s="1" t="str" cm="1">
        <f t="array" ref="F473">IFERROR(time_diff(Tabela1[[#This Row],[TEMPO]],E472),"00:00:00:000")</f>
        <v>00:00:00:00</v>
      </c>
      <c r="G473" s="1" t="str" cm="1">
        <f t="array" aca="1" ref="G473" ca="1">IF(Tabela1[[#This Row],[N°]]=D472,time_sum(Tabela1[[#This Row],[TEMPO]],E472),Tabela1[[#This Row],[TEMPO]])</f>
        <v>00:40:00:000</v>
      </c>
      <c r="H473" s="1" t="e">
        <f>VLOOKUP(C473,LARGADA!A:B,2,FALSE)</f>
        <v>#N/A</v>
      </c>
      <c r="I473" s="1" t="e">
        <f>VLOOKUP(C473,CHEGADA!A:B,2,FALSE)</f>
        <v>#N/A</v>
      </c>
    </row>
    <row r="474" spans="4:9">
      <c r="D474" s="2" t="str">
        <f>IFERROR(LEFT(Tabela1[[#This Row],[N°S]],LEN(Tabela1[[#This Row],[N°S]])-1),"")</f>
        <v/>
      </c>
      <c r="E474" s="1" t="str" cm="1">
        <f t="array" ref="E474">IFERROR(time_diff_cor(Tabela1[[#This Row],[Largada]],Tabela1[[#This Row],[Chegada]]),"00:20:00:000")</f>
        <v>00:20:00:000</v>
      </c>
      <c r="F474" s="1" t="str" cm="1">
        <f t="array" ref="F474">IFERROR(time_diff(Tabela1[[#This Row],[TEMPO]],E473),"00:00:00:000")</f>
        <v>00:00:00:00</v>
      </c>
      <c r="G474" s="1" t="str" cm="1">
        <f t="array" aca="1" ref="G474" ca="1">IF(Tabela1[[#This Row],[N°]]=D473,time_sum(Tabela1[[#This Row],[TEMPO]],E473),Tabela1[[#This Row],[TEMPO]])</f>
        <v>00:40:00:000</v>
      </c>
      <c r="H474" s="1" t="e">
        <f>VLOOKUP(C474,LARGADA!A:B,2,FALSE)</f>
        <v>#N/A</v>
      </c>
      <c r="I474" s="1" t="e">
        <f>VLOOKUP(C474,CHEGADA!A:B,2,FALSE)</f>
        <v>#N/A</v>
      </c>
    </row>
    <row r="475" spans="4:9">
      <c r="D475" s="2" t="str">
        <f>IFERROR(LEFT(Tabela1[[#This Row],[N°S]],LEN(Tabela1[[#This Row],[N°S]])-1),"")</f>
        <v/>
      </c>
      <c r="E475" s="1" t="str" cm="1">
        <f t="array" ref="E475">IFERROR(time_diff_cor(Tabela1[[#This Row],[Largada]],Tabela1[[#This Row],[Chegada]]),"00:20:00:000")</f>
        <v>00:20:00:000</v>
      </c>
      <c r="F475" s="1" t="str" cm="1">
        <f t="array" ref="F475">IFERROR(time_diff(Tabela1[[#This Row],[TEMPO]],E474),"00:00:00:000")</f>
        <v>00:00:00:00</v>
      </c>
      <c r="G475" s="1" t="str" cm="1">
        <f t="array" aca="1" ref="G475" ca="1">IF(Tabela1[[#This Row],[N°]]=D474,time_sum(Tabela1[[#This Row],[TEMPO]],E474),Tabela1[[#This Row],[TEMPO]])</f>
        <v>00:40:00:000</v>
      </c>
      <c r="H475" s="1" t="e">
        <f>VLOOKUP(C475,LARGADA!A:B,2,FALSE)</f>
        <v>#N/A</v>
      </c>
      <c r="I475" s="1" t="e">
        <f>VLOOKUP(C475,CHEGADA!A:B,2,FALSE)</f>
        <v>#N/A</v>
      </c>
    </row>
    <row r="476" spans="4:9">
      <c r="D476" s="2" t="str">
        <f>IFERROR(LEFT(Tabela1[[#This Row],[N°S]],LEN(Tabela1[[#This Row],[N°S]])-1),"")</f>
        <v/>
      </c>
      <c r="E476" s="1" t="str" cm="1">
        <f t="array" ref="E476">IFERROR(time_diff_cor(Tabela1[[#This Row],[Largada]],Tabela1[[#This Row],[Chegada]]),"00:20:00:000")</f>
        <v>00:20:00:000</v>
      </c>
      <c r="F476" s="1" t="str" cm="1">
        <f t="array" ref="F476">IFERROR(time_diff(Tabela1[[#This Row],[TEMPO]],E475),"00:00:00:000")</f>
        <v>00:00:00:00</v>
      </c>
      <c r="G476" s="1" t="str" cm="1">
        <f t="array" aca="1" ref="G476" ca="1">IF(Tabela1[[#This Row],[N°]]=D475,time_sum(Tabela1[[#This Row],[TEMPO]],E475),Tabela1[[#This Row],[TEMPO]])</f>
        <v>00:40:00:000</v>
      </c>
      <c r="H476" s="1" t="e">
        <f>VLOOKUP(C476,LARGADA!A:B,2,FALSE)</f>
        <v>#N/A</v>
      </c>
      <c r="I476" s="1" t="e">
        <f>VLOOKUP(C476,CHEGADA!A:B,2,FALSE)</f>
        <v>#N/A</v>
      </c>
    </row>
    <row r="477" spans="4:9">
      <c r="D477" s="2" t="str">
        <f>IFERROR(LEFT(Tabela1[[#This Row],[N°S]],LEN(Tabela1[[#This Row],[N°S]])-1),"")</f>
        <v/>
      </c>
      <c r="E477" s="1" t="str" cm="1">
        <f t="array" ref="E477">IFERROR(time_diff_cor(Tabela1[[#This Row],[Largada]],Tabela1[[#This Row],[Chegada]]),"00:20:00:000")</f>
        <v>00:20:00:000</v>
      </c>
      <c r="F477" s="1" t="str" cm="1">
        <f t="array" ref="F477">IFERROR(time_diff(Tabela1[[#This Row],[TEMPO]],E476),"00:00:00:000")</f>
        <v>00:00:00:00</v>
      </c>
      <c r="G477" s="1" t="str" cm="1">
        <f t="array" aca="1" ref="G477" ca="1">IF(Tabela1[[#This Row],[N°]]=D476,time_sum(Tabela1[[#This Row],[TEMPO]],E476),Tabela1[[#This Row],[TEMPO]])</f>
        <v>00:40:00:000</v>
      </c>
      <c r="H477" s="1" t="e">
        <f>VLOOKUP(C477,LARGADA!A:B,2,FALSE)</f>
        <v>#N/A</v>
      </c>
      <c r="I477" s="1" t="e">
        <f>VLOOKUP(C477,CHEGADA!A:B,2,FALSE)</f>
        <v>#N/A</v>
      </c>
    </row>
    <row r="478" spans="4:9">
      <c r="D478" s="2" t="str">
        <f>IFERROR(LEFT(Tabela1[[#This Row],[N°S]],LEN(Tabela1[[#This Row],[N°S]])-1),"")</f>
        <v/>
      </c>
      <c r="E478" s="1" t="str" cm="1">
        <f t="array" ref="E478">IFERROR(time_diff_cor(Tabela1[[#This Row],[Largada]],Tabela1[[#This Row],[Chegada]]),"00:20:00:000")</f>
        <v>00:20:00:000</v>
      </c>
      <c r="F478" s="1" t="str" cm="1">
        <f t="array" ref="F478">IFERROR(time_diff(Tabela1[[#This Row],[TEMPO]],E477),"00:00:00:000")</f>
        <v>00:00:00:00</v>
      </c>
      <c r="G478" s="1" t="str" cm="1">
        <f t="array" aca="1" ref="G478" ca="1">IF(Tabela1[[#This Row],[N°]]=D477,time_sum(Tabela1[[#This Row],[TEMPO]],E477),Tabela1[[#This Row],[TEMPO]])</f>
        <v>00:40:00:000</v>
      </c>
      <c r="H478" s="1" t="e">
        <f>VLOOKUP(C478,LARGADA!A:B,2,FALSE)</f>
        <v>#N/A</v>
      </c>
      <c r="I478" s="1" t="e">
        <f>VLOOKUP(C478,CHEGADA!A:B,2,FALSE)</f>
        <v>#N/A</v>
      </c>
    </row>
    <row r="479" spans="4:9">
      <c r="D479" s="2" t="str">
        <f>IFERROR(LEFT(Tabela1[[#This Row],[N°S]],LEN(Tabela1[[#This Row],[N°S]])-1),"")</f>
        <v/>
      </c>
      <c r="E479" s="1" t="str" cm="1">
        <f t="array" ref="E479">IFERROR(time_diff_cor(Tabela1[[#This Row],[Largada]],Tabela1[[#This Row],[Chegada]]),"00:20:00:000")</f>
        <v>00:20:00:000</v>
      </c>
      <c r="F479" s="1" t="str" cm="1">
        <f t="array" ref="F479">IFERROR(time_diff(Tabela1[[#This Row],[TEMPO]],E478),"00:00:00:000")</f>
        <v>00:00:00:00</v>
      </c>
      <c r="G479" s="1" t="str" cm="1">
        <f t="array" aca="1" ref="G479" ca="1">IF(Tabela1[[#This Row],[N°]]=D478,time_sum(Tabela1[[#This Row],[TEMPO]],E478),Tabela1[[#This Row],[TEMPO]])</f>
        <v>00:40:00:000</v>
      </c>
      <c r="H479" s="1" t="e">
        <f>VLOOKUP(C479,LARGADA!A:B,2,FALSE)</f>
        <v>#N/A</v>
      </c>
      <c r="I479" s="1" t="e">
        <f>VLOOKUP(C479,CHEGADA!A:B,2,FALSE)</f>
        <v>#N/A</v>
      </c>
    </row>
    <row r="480" spans="4:9">
      <c r="D480" s="2" t="str">
        <f>IFERROR(LEFT(Tabela1[[#This Row],[N°S]],LEN(Tabela1[[#This Row],[N°S]])-1),"")</f>
        <v/>
      </c>
      <c r="E480" s="1" t="str" cm="1">
        <f t="array" ref="E480">IFERROR(time_diff_cor(Tabela1[[#This Row],[Largada]],Tabela1[[#This Row],[Chegada]]),"00:20:00:000")</f>
        <v>00:20:00:000</v>
      </c>
      <c r="F480" s="1" t="str" cm="1">
        <f t="array" ref="F480">IFERROR(time_diff(Tabela1[[#This Row],[TEMPO]],E479),"00:00:00:000")</f>
        <v>00:00:00:00</v>
      </c>
      <c r="G480" s="1" t="str" cm="1">
        <f t="array" aca="1" ref="G480" ca="1">IF(Tabela1[[#This Row],[N°]]=D479,time_sum(Tabela1[[#This Row],[TEMPO]],E479),Tabela1[[#This Row],[TEMPO]])</f>
        <v>00:40:00:000</v>
      </c>
      <c r="H480" s="1" t="e">
        <f>VLOOKUP(C480,LARGADA!A:B,2,FALSE)</f>
        <v>#N/A</v>
      </c>
      <c r="I480" s="1" t="e">
        <f>VLOOKUP(C480,CHEGADA!A:B,2,FALSE)</f>
        <v>#N/A</v>
      </c>
    </row>
    <row r="481" spans="4:9">
      <c r="D481" s="2" t="str">
        <f>IFERROR(LEFT(Tabela1[[#This Row],[N°S]],LEN(Tabela1[[#This Row],[N°S]])-1),"")</f>
        <v/>
      </c>
      <c r="E481" s="1" t="str" cm="1">
        <f t="array" ref="E481">IFERROR(time_diff_cor(Tabela1[[#This Row],[Largada]],Tabela1[[#This Row],[Chegada]]),"00:20:00:000")</f>
        <v>00:20:00:000</v>
      </c>
      <c r="F481" s="1" t="str" cm="1">
        <f t="array" ref="F481">IFERROR(time_diff(Tabela1[[#This Row],[TEMPO]],E480),"00:00:00:000")</f>
        <v>00:00:00:00</v>
      </c>
      <c r="G481" s="1" t="str" cm="1">
        <f t="array" aca="1" ref="G481" ca="1">IF(Tabela1[[#This Row],[N°]]=D480,time_sum(Tabela1[[#This Row],[TEMPO]],E480),Tabela1[[#This Row],[TEMPO]])</f>
        <v>00:40:00:000</v>
      </c>
      <c r="H481" s="1" t="e">
        <f>VLOOKUP(C481,LARGADA!A:B,2,FALSE)</f>
        <v>#N/A</v>
      </c>
      <c r="I481" s="1" t="e">
        <f>VLOOKUP(C481,CHEGADA!A:B,2,FALSE)</f>
        <v>#N/A</v>
      </c>
    </row>
    <row r="482" spans="4:9">
      <c r="D482" s="2" t="str">
        <f>IFERROR(LEFT(Tabela1[[#This Row],[N°S]],LEN(Tabela1[[#This Row],[N°S]])-1),"")</f>
        <v/>
      </c>
      <c r="E482" s="1" t="str" cm="1">
        <f t="array" ref="E482">IFERROR(time_diff_cor(Tabela1[[#This Row],[Largada]],Tabela1[[#This Row],[Chegada]]),"00:20:00:000")</f>
        <v>00:20:00:000</v>
      </c>
      <c r="F482" s="1" t="str" cm="1">
        <f t="array" ref="F482">IFERROR(time_diff(Tabela1[[#This Row],[TEMPO]],E481),"00:00:00:000")</f>
        <v>00:00:00:00</v>
      </c>
      <c r="G482" s="1" t="str" cm="1">
        <f t="array" aca="1" ref="G482" ca="1">IF(Tabela1[[#This Row],[N°]]=D481,time_sum(Tabela1[[#This Row],[TEMPO]],E481),Tabela1[[#This Row],[TEMPO]])</f>
        <v>00:40:00:000</v>
      </c>
      <c r="H482" s="1" t="e">
        <f>VLOOKUP(C482,LARGADA!A:B,2,FALSE)</f>
        <v>#N/A</v>
      </c>
      <c r="I482" s="1" t="e">
        <f>VLOOKUP(C482,CHEGADA!A:B,2,FALSE)</f>
        <v>#N/A</v>
      </c>
    </row>
    <row r="483" spans="4:9">
      <c r="D483" s="2" t="str">
        <f>IFERROR(LEFT(Tabela1[[#This Row],[N°S]],LEN(Tabela1[[#This Row],[N°S]])-1),"")</f>
        <v/>
      </c>
      <c r="E483" s="1" t="str" cm="1">
        <f t="array" ref="E483">IFERROR(time_diff_cor(Tabela1[[#This Row],[Largada]],Tabela1[[#This Row],[Chegada]]),"00:20:00:000")</f>
        <v>00:20:00:000</v>
      </c>
      <c r="F483" s="1" t="str" cm="1">
        <f t="array" ref="F483">IFERROR(time_diff(Tabela1[[#This Row],[TEMPO]],E482),"00:00:00:000")</f>
        <v>00:00:00:00</v>
      </c>
      <c r="G483" s="1" t="str" cm="1">
        <f t="array" aca="1" ref="G483" ca="1">IF(Tabela1[[#This Row],[N°]]=D482,time_sum(Tabela1[[#This Row],[TEMPO]],E482),Tabela1[[#This Row],[TEMPO]])</f>
        <v>00:40:00:000</v>
      </c>
      <c r="H483" s="1" t="e">
        <f>VLOOKUP(C483,LARGADA!A:B,2,FALSE)</f>
        <v>#N/A</v>
      </c>
      <c r="I483" s="1" t="e">
        <f>VLOOKUP(C483,CHEGADA!A:B,2,FALSE)</f>
        <v>#N/A</v>
      </c>
    </row>
    <row r="484" spans="4:9">
      <c r="D484" s="2" t="str">
        <f>IFERROR(LEFT(Tabela1[[#This Row],[N°S]],LEN(Tabela1[[#This Row],[N°S]])-1),"")</f>
        <v/>
      </c>
      <c r="E484" s="1" t="str" cm="1">
        <f t="array" ref="E484">IFERROR(time_diff_cor(Tabela1[[#This Row],[Largada]],Tabela1[[#This Row],[Chegada]]),"00:20:00:000")</f>
        <v>00:20:00:000</v>
      </c>
      <c r="F484" s="1" t="str" cm="1">
        <f t="array" ref="F484">IFERROR(time_diff(Tabela1[[#This Row],[TEMPO]],E483),"00:00:00:000")</f>
        <v>00:00:00:00</v>
      </c>
      <c r="G484" s="1" t="str" cm="1">
        <f t="array" aca="1" ref="G484" ca="1">IF(Tabela1[[#This Row],[N°]]=D483,time_sum(Tabela1[[#This Row],[TEMPO]],E483),Tabela1[[#This Row],[TEMPO]])</f>
        <v>00:40:00:000</v>
      </c>
      <c r="H484" s="1" t="e">
        <f>VLOOKUP(C484,LARGADA!A:B,2,FALSE)</f>
        <v>#N/A</v>
      </c>
      <c r="I484" s="1" t="e">
        <f>VLOOKUP(C484,CHEGADA!A:B,2,FALSE)</f>
        <v>#N/A</v>
      </c>
    </row>
    <row r="485" spans="4:9">
      <c r="D485" s="2" t="str">
        <f>IFERROR(LEFT(Tabela1[[#This Row],[N°S]],LEN(Tabela1[[#This Row],[N°S]])-1),"")</f>
        <v/>
      </c>
      <c r="E485" s="1" t="str" cm="1">
        <f t="array" ref="E485">IFERROR(time_diff_cor(Tabela1[[#This Row],[Largada]],Tabela1[[#This Row],[Chegada]]),"00:20:00:000")</f>
        <v>00:20:00:000</v>
      </c>
      <c r="F485" s="1" t="str" cm="1">
        <f t="array" ref="F485">IFERROR(time_diff(Tabela1[[#This Row],[TEMPO]],E484),"00:00:00:000")</f>
        <v>00:00:00:00</v>
      </c>
      <c r="G485" s="1" t="str" cm="1">
        <f t="array" aca="1" ref="G485" ca="1">IF(Tabela1[[#This Row],[N°]]=D484,time_sum(Tabela1[[#This Row],[TEMPO]],E484),Tabela1[[#This Row],[TEMPO]])</f>
        <v>00:40:00:000</v>
      </c>
      <c r="H485" s="1" t="e">
        <f>VLOOKUP(C485,LARGADA!A:B,2,FALSE)</f>
        <v>#N/A</v>
      </c>
      <c r="I485" s="1" t="e">
        <f>VLOOKUP(C485,CHEGADA!A:B,2,FALSE)</f>
        <v>#N/A</v>
      </c>
    </row>
    <row r="486" spans="4:9">
      <c r="D486" s="2" t="str">
        <f>IFERROR(LEFT(Tabela1[[#This Row],[N°S]],LEN(Tabela1[[#This Row],[N°S]])-1),"")</f>
        <v/>
      </c>
      <c r="E486" s="1" t="str" cm="1">
        <f t="array" ref="E486">IFERROR(time_diff_cor(Tabela1[[#This Row],[Largada]],Tabela1[[#This Row],[Chegada]]),"00:20:00:000")</f>
        <v>00:20:00:000</v>
      </c>
      <c r="F486" s="1" t="str" cm="1">
        <f t="array" ref="F486">IFERROR(time_diff(Tabela1[[#This Row],[TEMPO]],E485),"00:00:00:000")</f>
        <v>00:00:00:00</v>
      </c>
      <c r="G486" s="1" t="str" cm="1">
        <f t="array" aca="1" ref="G486" ca="1">IF(Tabela1[[#This Row],[N°]]=D485,time_sum(Tabela1[[#This Row],[TEMPO]],E485),Tabela1[[#This Row],[TEMPO]])</f>
        <v>00:40:00:000</v>
      </c>
      <c r="H486" s="1" t="e">
        <f>VLOOKUP(C486,LARGADA!A:B,2,FALSE)</f>
        <v>#N/A</v>
      </c>
      <c r="I486" s="1" t="e">
        <f>VLOOKUP(C486,CHEGADA!A:B,2,FALSE)</f>
        <v>#N/A</v>
      </c>
    </row>
    <row r="487" spans="4:9">
      <c r="D487" s="2" t="str">
        <f>IFERROR(LEFT(Tabela1[[#This Row],[N°S]],LEN(Tabela1[[#This Row],[N°S]])-1),"")</f>
        <v/>
      </c>
      <c r="E487" s="1" t="str" cm="1">
        <f t="array" ref="E487">IFERROR(time_diff_cor(Tabela1[[#This Row],[Largada]],Tabela1[[#This Row],[Chegada]]),"00:20:00:000")</f>
        <v>00:20:00:000</v>
      </c>
      <c r="F487" s="1" t="str" cm="1">
        <f t="array" ref="F487">IFERROR(time_diff(Tabela1[[#This Row],[TEMPO]],E486),"00:00:00:000")</f>
        <v>00:00:00:00</v>
      </c>
      <c r="G487" s="1" t="str" cm="1">
        <f t="array" aca="1" ref="G487" ca="1">IF(Tabela1[[#This Row],[N°]]=D486,time_sum(Tabela1[[#This Row],[TEMPO]],E486),Tabela1[[#This Row],[TEMPO]])</f>
        <v>00:40:00:000</v>
      </c>
      <c r="H487" s="1" t="e">
        <f>VLOOKUP(C487,LARGADA!A:B,2,FALSE)</f>
        <v>#N/A</v>
      </c>
      <c r="I487" s="1" t="e">
        <f>VLOOKUP(C487,CHEGADA!A:B,2,FALSE)</f>
        <v>#N/A</v>
      </c>
    </row>
    <row r="488" spans="4:9">
      <c r="D488" s="2" t="str">
        <f>IFERROR(LEFT(Tabela1[[#This Row],[N°S]],LEN(Tabela1[[#This Row],[N°S]])-1),"")</f>
        <v/>
      </c>
      <c r="E488" s="1" t="str" cm="1">
        <f t="array" ref="E488">IFERROR(time_diff_cor(Tabela1[[#This Row],[Largada]],Tabela1[[#This Row],[Chegada]]),"00:20:00:000")</f>
        <v>00:20:00:000</v>
      </c>
      <c r="F488" s="1" t="str" cm="1">
        <f t="array" ref="F488">IFERROR(time_diff(Tabela1[[#This Row],[TEMPO]],E487),"00:00:00:000")</f>
        <v>00:00:00:00</v>
      </c>
      <c r="G488" s="1" t="str" cm="1">
        <f t="array" aca="1" ref="G488" ca="1">IF(Tabela1[[#This Row],[N°]]=D487,time_sum(Tabela1[[#This Row],[TEMPO]],E487),Tabela1[[#This Row],[TEMPO]])</f>
        <v>00:40:00:000</v>
      </c>
      <c r="H488" s="1" t="e">
        <f>VLOOKUP(C488,LARGADA!A:B,2,FALSE)</f>
        <v>#N/A</v>
      </c>
      <c r="I488" s="1" t="e">
        <f>VLOOKUP(C488,CHEGADA!A:B,2,FALSE)</f>
        <v>#N/A</v>
      </c>
    </row>
    <row r="489" spans="4:9">
      <c r="D489" s="2" t="str">
        <f>IFERROR(LEFT(Tabela1[[#This Row],[N°S]],LEN(Tabela1[[#This Row],[N°S]])-1),"")</f>
        <v/>
      </c>
      <c r="E489" s="1" t="str" cm="1">
        <f t="array" ref="E489">IFERROR(time_diff_cor(Tabela1[[#This Row],[Largada]],Tabela1[[#This Row],[Chegada]]),"00:20:00:000")</f>
        <v>00:20:00:000</v>
      </c>
      <c r="F489" s="1" t="str" cm="1">
        <f t="array" ref="F489">IFERROR(time_diff(Tabela1[[#This Row],[TEMPO]],E488),"00:00:00:000")</f>
        <v>00:00:00:00</v>
      </c>
      <c r="G489" s="1" t="str" cm="1">
        <f t="array" aca="1" ref="G489" ca="1">IF(Tabela1[[#This Row],[N°]]=D488,time_sum(Tabela1[[#This Row],[TEMPO]],E488),Tabela1[[#This Row],[TEMPO]])</f>
        <v>00:40:00:000</v>
      </c>
      <c r="H489" s="1" t="e">
        <f>VLOOKUP(C489,LARGADA!A:B,2,FALSE)</f>
        <v>#N/A</v>
      </c>
      <c r="I489" s="1" t="e">
        <f>VLOOKUP(C489,CHEGADA!A:B,2,FALSE)</f>
        <v>#N/A</v>
      </c>
    </row>
    <row r="490" spans="4:9">
      <c r="D490" s="2" t="str">
        <f>IFERROR(LEFT(Tabela1[[#This Row],[N°S]],LEN(Tabela1[[#This Row],[N°S]])-1),"")</f>
        <v/>
      </c>
      <c r="E490" s="1" t="str" cm="1">
        <f t="array" ref="E490">IFERROR(time_diff_cor(Tabela1[[#This Row],[Largada]],Tabela1[[#This Row],[Chegada]]),"00:20:00:000")</f>
        <v>00:20:00:000</v>
      </c>
      <c r="F490" s="1" t="str" cm="1">
        <f t="array" ref="F490">IFERROR(time_diff(Tabela1[[#This Row],[TEMPO]],E489),"00:00:00:000")</f>
        <v>00:00:00:00</v>
      </c>
      <c r="G490" s="1" t="str" cm="1">
        <f t="array" aca="1" ref="G490" ca="1">IF(Tabela1[[#This Row],[N°]]=D489,time_sum(Tabela1[[#This Row],[TEMPO]],E489),Tabela1[[#This Row],[TEMPO]])</f>
        <v>00:40:00:000</v>
      </c>
      <c r="H490" s="1" t="e">
        <f>VLOOKUP(C490,LARGADA!A:B,2,FALSE)</f>
        <v>#N/A</v>
      </c>
      <c r="I490" s="1" t="e">
        <f>VLOOKUP(C490,CHEGADA!A:B,2,FALSE)</f>
        <v>#N/A</v>
      </c>
    </row>
    <row r="491" spans="4:9">
      <c r="D491" s="2" t="str">
        <f>IFERROR(LEFT(Tabela1[[#This Row],[N°S]],LEN(Tabela1[[#This Row],[N°S]])-1),"")</f>
        <v/>
      </c>
      <c r="E491" s="1" t="str" cm="1">
        <f t="array" ref="E491">IFERROR(time_diff_cor(Tabela1[[#This Row],[Largada]],Tabela1[[#This Row],[Chegada]]),"00:20:00:000")</f>
        <v>00:20:00:000</v>
      </c>
      <c r="F491" s="1" t="str" cm="1">
        <f t="array" ref="F491">IFERROR(time_diff(Tabela1[[#This Row],[TEMPO]],E490),"00:00:00:000")</f>
        <v>00:00:00:00</v>
      </c>
      <c r="G491" s="1" t="str" cm="1">
        <f t="array" aca="1" ref="G491" ca="1">IF(Tabela1[[#This Row],[N°]]=D490,time_sum(Tabela1[[#This Row],[TEMPO]],E490),Tabela1[[#This Row],[TEMPO]])</f>
        <v>00:40:00:000</v>
      </c>
      <c r="H491" s="1" t="e">
        <f>VLOOKUP(C491,LARGADA!A:B,2,FALSE)</f>
        <v>#N/A</v>
      </c>
      <c r="I491" s="1" t="e">
        <f>VLOOKUP(C491,CHEGADA!A:B,2,FALSE)</f>
        <v>#N/A</v>
      </c>
    </row>
    <row r="492" spans="4:9">
      <c r="D492" s="2" t="str">
        <f>IFERROR(LEFT(Tabela1[[#This Row],[N°S]],LEN(Tabela1[[#This Row],[N°S]])-1),"")</f>
        <v/>
      </c>
      <c r="E492" s="1" t="str" cm="1">
        <f t="array" ref="E492">IFERROR(time_diff_cor(Tabela1[[#This Row],[Largada]],Tabela1[[#This Row],[Chegada]]),"00:20:00:000")</f>
        <v>00:20:00:000</v>
      </c>
      <c r="F492" s="1" t="str" cm="1">
        <f t="array" ref="F492">IFERROR(time_diff(Tabela1[[#This Row],[TEMPO]],E491),"00:00:00:000")</f>
        <v>00:00:00:00</v>
      </c>
      <c r="G492" s="1" t="str" cm="1">
        <f t="array" aca="1" ref="G492" ca="1">IF(Tabela1[[#This Row],[N°]]=D491,time_sum(Tabela1[[#This Row],[TEMPO]],E491),Tabela1[[#This Row],[TEMPO]])</f>
        <v>00:40:00:000</v>
      </c>
      <c r="H492" s="1" t="e">
        <f>VLOOKUP(C492,LARGADA!A:B,2,FALSE)</f>
        <v>#N/A</v>
      </c>
      <c r="I492" s="1" t="e">
        <f>VLOOKUP(C492,CHEGADA!A:B,2,FALSE)</f>
        <v>#N/A</v>
      </c>
    </row>
    <row r="493" spans="4:9">
      <c r="D493" s="2" t="str">
        <f>IFERROR(LEFT(Tabela1[[#This Row],[N°S]],LEN(Tabela1[[#This Row],[N°S]])-1),"")</f>
        <v/>
      </c>
      <c r="E493" s="1" t="str" cm="1">
        <f t="array" ref="E493">IFERROR(time_diff_cor(Tabela1[[#This Row],[Largada]],Tabela1[[#This Row],[Chegada]]),"00:20:00:000")</f>
        <v>00:20:00:000</v>
      </c>
      <c r="F493" s="1" t="str" cm="1">
        <f t="array" ref="F493">IFERROR(time_diff(Tabela1[[#This Row],[TEMPO]],E492),"00:00:00:000")</f>
        <v>00:00:00:00</v>
      </c>
      <c r="G493" s="1" t="str" cm="1">
        <f t="array" aca="1" ref="G493" ca="1">IF(Tabela1[[#This Row],[N°]]=D492,time_sum(Tabela1[[#This Row],[TEMPO]],E492),Tabela1[[#This Row],[TEMPO]])</f>
        <v>00:40:00:000</v>
      </c>
      <c r="H493" s="1" t="e">
        <f>VLOOKUP(C493,LARGADA!A:B,2,FALSE)</f>
        <v>#N/A</v>
      </c>
      <c r="I493" s="1" t="e">
        <f>VLOOKUP(C493,CHEGADA!A:B,2,FALSE)</f>
        <v>#N/A</v>
      </c>
    </row>
    <row r="494" spans="4:9">
      <c r="D494" s="2" t="str">
        <f>IFERROR(LEFT(Tabela1[[#This Row],[N°S]],LEN(Tabela1[[#This Row],[N°S]])-1),"")</f>
        <v/>
      </c>
      <c r="E494" s="1" t="str" cm="1">
        <f t="array" ref="E494">IFERROR(time_diff_cor(Tabela1[[#This Row],[Largada]],Tabela1[[#This Row],[Chegada]]),"00:20:00:000")</f>
        <v>00:20:00:000</v>
      </c>
      <c r="F494" s="1" t="str" cm="1">
        <f t="array" ref="F494">IFERROR(time_diff(Tabela1[[#This Row],[TEMPO]],E493),"00:00:00:000")</f>
        <v>00:00:00:00</v>
      </c>
      <c r="G494" s="1" t="str" cm="1">
        <f t="array" aca="1" ref="G494" ca="1">IF(Tabela1[[#This Row],[N°]]=D493,time_sum(Tabela1[[#This Row],[TEMPO]],E493),Tabela1[[#This Row],[TEMPO]])</f>
        <v>00:40:00:000</v>
      </c>
      <c r="H494" s="1" t="e">
        <f>VLOOKUP(C494,LARGADA!A:B,2,FALSE)</f>
        <v>#N/A</v>
      </c>
      <c r="I494" s="1" t="e">
        <f>VLOOKUP(C494,CHEGADA!A:B,2,FALSE)</f>
        <v>#N/A</v>
      </c>
    </row>
    <row r="495" spans="4:9">
      <c r="D495" s="2" t="str">
        <f>IFERROR(LEFT(Tabela1[[#This Row],[N°S]],LEN(Tabela1[[#This Row],[N°S]])-1),"")</f>
        <v/>
      </c>
      <c r="E495" s="1" t="str" cm="1">
        <f t="array" ref="E495">IFERROR(time_diff_cor(Tabela1[[#This Row],[Largada]],Tabela1[[#This Row],[Chegada]]),"00:20:00:000")</f>
        <v>00:20:00:000</v>
      </c>
      <c r="F495" s="1" t="str" cm="1">
        <f t="array" ref="F495">IFERROR(time_diff(Tabela1[[#This Row],[TEMPO]],E494),"00:00:00:000")</f>
        <v>00:00:00:00</v>
      </c>
      <c r="G495" s="1" t="str" cm="1">
        <f t="array" aca="1" ref="G495" ca="1">IF(Tabela1[[#This Row],[N°]]=D494,time_sum(Tabela1[[#This Row],[TEMPO]],E494),Tabela1[[#This Row],[TEMPO]])</f>
        <v>00:40:00:000</v>
      </c>
      <c r="H495" s="1" t="e">
        <f>VLOOKUP(C495,LARGADA!A:B,2,FALSE)</f>
        <v>#N/A</v>
      </c>
      <c r="I495" s="1" t="e">
        <f>VLOOKUP(C495,CHEGADA!A:B,2,FALSE)</f>
        <v>#N/A</v>
      </c>
    </row>
    <row r="496" spans="4:9">
      <c r="D496" s="2" t="str">
        <f>IFERROR(LEFT(Tabela1[[#This Row],[N°S]],LEN(Tabela1[[#This Row],[N°S]])-1),"")</f>
        <v/>
      </c>
      <c r="E496" s="1" t="str" cm="1">
        <f t="array" ref="E496">IFERROR(time_diff_cor(Tabela1[[#This Row],[Largada]],Tabela1[[#This Row],[Chegada]]),"00:20:00:000")</f>
        <v>00:20:00:000</v>
      </c>
      <c r="F496" s="1" t="str" cm="1">
        <f t="array" ref="F496">IFERROR(time_diff(Tabela1[[#This Row],[TEMPO]],E495),"00:00:00:000")</f>
        <v>00:00:00:00</v>
      </c>
      <c r="G496" s="1" t="str" cm="1">
        <f t="array" aca="1" ref="G496" ca="1">IF(Tabela1[[#This Row],[N°]]=D495,time_sum(Tabela1[[#This Row],[TEMPO]],E495),Tabela1[[#This Row],[TEMPO]])</f>
        <v>00:40:00:000</v>
      </c>
      <c r="H496" s="1" t="e">
        <f>VLOOKUP(C496,LARGADA!A:B,2,FALSE)</f>
        <v>#N/A</v>
      </c>
      <c r="I496" s="1" t="e">
        <f>VLOOKUP(C496,CHEGADA!A:B,2,FALSE)</f>
        <v>#N/A</v>
      </c>
    </row>
    <row r="497" spans="4:9">
      <c r="D497" s="2" t="str">
        <f>IFERROR(LEFT(Tabela1[[#This Row],[N°S]],LEN(Tabela1[[#This Row],[N°S]])-1),"")</f>
        <v/>
      </c>
      <c r="E497" s="1" t="str" cm="1">
        <f t="array" ref="E497">IFERROR(time_diff_cor(Tabela1[[#This Row],[Largada]],Tabela1[[#This Row],[Chegada]]),"00:20:00:000")</f>
        <v>00:20:00:000</v>
      </c>
      <c r="F497" s="1" t="str" cm="1">
        <f t="array" ref="F497">IFERROR(time_diff(Tabela1[[#This Row],[TEMPO]],E496),"00:00:00:000")</f>
        <v>00:00:00:00</v>
      </c>
      <c r="G497" s="1" t="str" cm="1">
        <f t="array" aca="1" ref="G497" ca="1">IF(Tabela1[[#This Row],[N°]]=D496,time_sum(Tabela1[[#This Row],[TEMPO]],E496),Tabela1[[#This Row],[TEMPO]])</f>
        <v>00:40:00:000</v>
      </c>
      <c r="H497" s="1" t="e">
        <f>VLOOKUP(C497,LARGADA!A:B,2,FALSE)</f>
        <v>#N/A</v>
      </c>
      <c r="I497" s="1" t="e">
        <f>VLOOKUP(C497,CHEGADA!A:B,2,FALSE)</f>
        <v>#N/A</v>
      </c>
    </row>
    <row r="498" spans="4:9">
      <c r="D498" s="2" t="str">
        <f>IFERROR(LEFT(Tabela1[[#This Row],[N°S]],LEN(Tabela1[[#This Row],[N°S]])-1),"")</f>
        <v/>
      </c>
      <c r="E498" s="1" t="str" cm="1">
        <f t="array" ref="E498">IFERROR(time_diff_cor(Tabela1[[#This Row],[Largada]],Tabela1[[#This Row],[Chegada]]),"00:20:00:000")</f>
        <v>00:20:00:000</v>
      </c>
      <c r="F498" s="1" t="str" cm="1">
        <f t="array" ref="F498">IFERROR(time_diff(Tabela1[[#This Row],[TEMPO]],E497),"00:00:00:000")</f>
        <v>00:00:00:00</v>
      </c>
      <c r="G498" s="1" t="str" cm="1">
        <f t="array" aca="1" ref="G498" ca="1">IF(Tabela1[[#This Row],[N°]]=D497,time_sum(Tabela1[[#This Row],[TEMPO]],E497),Tabela1[[#This Row],[TEMPO]])</f>
        <v>00:40:00:000</v>
      </c>
      <c r="H498" s="1" t="e">
        <f>VLOOKUP(C498,LARGADA!A:B,2,FALSE)</f>
        <v>#N/A</v>
      </c>
      <c r="I498" s="1" t="e">
        <f>VLOOKUP(C498,CHEGADA!A:B,2,FALSE)</f>
        <v>#N/A</v>
      </c>
    </row>
    <row r="499" spans="4:9">
      <c r="D499" s="2" t="str">
        <f>IFERROR(LEFT(Tabela1[[#This Row],[N°S]],LEN(Tabela1[[#This Row],[N°S]])-1),"")</f>
        <v/>
      </c>
      <c r="E499" s="1" t="str" cm="1">
        <f t="array" ref="E499">IFERROR(time_diff_cor(Tabela1[[#This Row],[Largada]],Tabela1[[#This Row],[Chegada]]),"00:20:00:000")</f>
        <v>00:20:00:000</v>
      </c>
      <c r="F499" s="1" t="str" cm="1">
        <f t="array" ref="F499">IFERROR(time_diff(Tabela1[[#This Row],[TEMPO]],E498),"00:00:00:000")</f>
        <v>00:00:00:00</v>
      </c>
      <c r="G499" s="1" t="str" cm="1">
        <f t="array" aca="1" ref="G499" ca="1">IF(Tabela1[[#This Row],[N°]]=D498,time_sum(Tabela1[[#This Row],[TEMPO]],E498),Tabela1[[#This Row],[TEMPO]])</f>
        <v>00:40:00:000</v>
      </c>
      <c r="H499" s="1" t="e">
        <f>VLOOKUP(C499,LARGADA!A:B,2,FALSE)</f>
        <v>#N/A</v>
      </c>
      <c r="I499" s="1" t="e">
        <f>VLOOKUP(C499,CHEGADA!A:B,2,FALSE)</f>
        <v>#N/A</v>
      </c>
    </row>
    <row r="500" spans="4:9">
      <c r="D500" s="2" t="str">
        <f>IFERROR(LEFT(Tabela1[[#This Row],[N°S]],LEN(Tabela1[[#This Row],[N°S]])-1),"")</f>
        <v/>
      </c>
      <c r="E500" s="1" t="str" cm="1">
        <f t="array" ref="E500">IFERROR(time_diff_cor(Tabela1[[#This Row],[Largada]],Tabela1[[#This Row],[Chegada]]),"00:20:00:000")</f>
        <v>00:20:00:000</v>
      </c>
      <c r="F500" s="1" t="str" cm="1">
        <f t="array" ref="F500">IFERROR(time_diff(Tabela1[[#This Row],[TEMPO]],E499),"00:00:00:000")</f>
        <v>00:00:00:00</v>
      </c>
      <c r="G500" s="1" t="str" cm="1">
        <f t="array" aca="1" ref="G500" ca="1">IF(Tabela1[[#This Row],[N°]]=D499,time_sum(Tabela1[[#This Row],[TEMPO]],E499),Tabela1[[#This Row],[TEMPO]])</f>
        <v>00:40:00:000</v>
      </c>
      <c r="H500" s="1" t="e">
        <f>VLOOKUP(C500,LARGADA!A:B,2,FALSE)</f>
        <v>#N/A</v>
      </c>
      <c r="I500" s="1" t="e">
        <f>VLOOKUP(C500,CHEGADA!A:B,2,FALSE)</f>
        <v>#N/A</v>
      </c>
    </row>
  </sheetData>
  <sortState xmlns:xlrd2="http://schemas.microsoft.com/office/spreadsheetml/2017/richdata2" ref="A2:I500">
    <sortCondition ref="E2:E500"/>
  </sortState>
  <phoneticPr fontId="1" type="noConversion"/>
  <printOptions horizontalCentered="1"/>
  <pageMargins left="0" right="0" top="0" bottom="0" header="0" footer="0"/>
  <pageSetup paperSize="256" scale="3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ganizar_dados">
                <anchor moveWithCells="1" sizeWithCells="1">
                  <from>
                    <xdr:col>9</xdr:col>
                    <xdr:colOff>457200</xdr:colOff>
                    <xdr:row>2</xdr:row>
                    <xdr:rowOff>106680</xdr:rowOff>
                  </from>
                  <to>
                    <xdr:col>13</xdr:col>
                    <xdr:colOff>236220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age">
                <anchor moveWithCells="1" sizeWithCells="1">
                  <from>
                    <xdr:col>9</xdr:col>
                    <xdr:colOff>533400</xdr:colOff>
                    <xdr:row>8</xdr:row>
                    <xdr:rowOff>129540</xdr:rowOff>
                  </from>
                  <to>
                    <xdr:col>13</xdr:col>
                    <xdr:colOff>236220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ow_again">
                <anchor moveWithCells="1" sizeWithCells="1">
                  <from>
                    <xdr:col>9</xdr:col>
                    <xdr:colOff>563880</xdr:colOff>
                    <xdr:row>16</xdr:row>
                    <xdr:rowOff>0</xdr:rowOff>
                  </from>
                  <to>
                    <xdr:col>13</xdr:col>
                    <xdr:colOff>236220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CE208-1A80-4A75-824E-3E3C6330ED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LARGADA</vt:lpstr>
      <vt:lpstr>CHEGADA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Chagas Gimenes Viana</dc:creator>
  <cp:lastModifiedBy>Viana, Caio C</cp:lastModifiedBy>
  <cp:lastPrinted>2024-09-22T02:05:23Z</cp:lastPrinted>
  <dcterms:created xsi:type="dcterms:W3CDTF">2022-07-14T00:39:08Z</dcterms:created>
  <dcterms:modified xsi:type="dcterms:W3CDTF">2024-09-23T09:54:42Z</dcterms:modified>
</cp:coreProperties>
</file>